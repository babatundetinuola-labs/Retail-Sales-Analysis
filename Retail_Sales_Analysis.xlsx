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24226"/>
  <xr:revisionPtr revIDLastSave="0" documentId="8_{648E0208-E739-48BD-BAE6-3D349928ABCF}" xr6:coauthVersionLast="47" xr6:coauthVersionMax="47" xr10:uidLastSave="{00000000-0000-0000-0000-000000000000}"/>
  <bookViews>
    <workbookView xWindow="240" yWindow="15" windowWidth="16095" windowHeight="9660" firstSheet="3" activeTab="3" xr2:uid="{00000000-000D-0000-FFFF-FFFF00000000}"/>
  </bookViews>
  <sheets>
    <sheet name="Sheet2" sheetId="2" r:id="rId1"/>
    <sheet name="Sheet3" sheetId="3" r:id="rId2"/>
    <sheet name="Sheet5" sheetId="5" r:id="rId3"/>
    <sheet name="Dashboard" sheetId="6" r:id="rId4"/>
    <sheet name="Sheet4" sheetId="4" r:id="rId5"/>
    <sheet name="Sheet1" sheetId="1" r:id="rId6"/>
  </sheets>
  <definedNames>
    <definedName name="_xlnm._FilterDatabase" localSheetId="5" hidden="1">Sheet1!$A$1:$L$501</definedName>
    <definedName name="Slicer_Category">#N/A</definedName>
    <definedName name="Slicer_Region">#N/A</definedName>
  </definedNames>
  <calcPr calcId="191028"/>
  <pivotCaches>
    <pivotCache cacheId="20" r:id="rId7"/>
    <pivotCache cacheId="21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6" l="1"/>
  <c r="G4" i="6"/>
  <c r="E4" i="6"/>
  <c r="C4" i="6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A502" i="1"/>
  <c r="K503" i="1"/>
  <c r="J503" i="1"/>
  <c r="K502" i="1"/>
  <c r="J502" i="1"/>
</calcChain>
</file>

<file path=xl/sharedStrings.xml><?xml version="1.0" encoding="utf-8"?>
<sst xmlns="http://schemas.openxmlformats.org/spreadsheetml/2006/main" count="3554" uniqueCount="984">
  <si>
    <t>Region</t>
  </si>
  <si>
    <t>Sum of Sales</t>
  </si>
  <si>
    <t>Abuja</t>
  </si>
  <si>
    <t>Oyo</t>
  </si>
  <si>
    <t>Rivers</t>
  </si>
  <si>
    <t>Lagos</t>
  </si>
  <si>
    <t>Kano</t>
  </si>
  <si>
    <t>Grand Total</t>
  </si>
  <si>
    <t>month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</si>
  <si>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</si>
  <si>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</si>
  <si>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</si>
  <si>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</si>
  <si>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</si>
  <si>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</si>
  <si>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</si>
  <si>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</si>
  <si>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</si>
  <si>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</si>
  <si>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</si>
  <si>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</si>
  <si>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</si>
  <si>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RETAIL SALES PERFORMANCE DASHBOARD</t>
  </si>
  <si>
    <t>Total Sales</t>
  </si>
  <si>
    <t>Total Profit</t>
  </si>
  <si>
    <t>Total Orders</t>
  </si>
  <si>
    <t>Total Quantity</t>
  </si>
  <si>
    <t>KEY BUSINESS INSIGHTS</t>
  </si>
  <si>
    <t>Total Sales reached #258,831,300.</t>
  </si>
  <si>
    <t>Total Profit was #63,604,368.45</t>
  </si>
  <si>
    <t>500 orders were recorded, with 1,501 units sold</t>
  </si>
  <si>
    <t>Laptop Pro14 was the highest-selling product by sales value.</t>
  </si>
  <si>
    <t>Order ID</t>
  </si>
  <si>
    <t>Order Date</t>
  </si>
  <si>
    <t>Customer</t>
  </si>
  <si>
    <t>Product</t>
  </si>
  <si>
    <t>Category</t>
  </si>
  <si>
    <t>Quantity</t>
  </si>
  <si>
    <t>Unit Price</t>
  </si>
  <si>
    <t>Discount</t>
  </si>
  <si>
    <t>Sales</t>
  </si>
  <si>
    <t>Profit</t>
  </si>
  <si>
    <t>Payment Method</t>
  </si>
  <si>
    <t>ORD-0001</t>
  </si>
  <si>
    <t>2025-01-13</t>
  </si>
  <si>
    <t>Customer 027</t>
  </si>
  <si>
    <t>Smartphone X</t>
  </si>
  <si>
    <t>Technology</t>
  </si>
  <si>
    <t>Card</t>
  </si>
  <si>
    <t>ORD-0002</t>
  </si>
  <si>
    <t>2025-08-05</t>
  </si>
  <si>
    <t>Customer 060</t>
  </si>
  <si>
    <t>USB-C Hub</t>
  </si>
  <si>
    <t>ORD-0003</t>
  </si>
  <si>
    <t>2025-04-12</t>
  </si>
  <si>
    <t>Customer 072</t>
  </si>
  <si>
    <t>Standing Desk</t>
  </si>
  <si>
    <t>Furniture</t>
  </si>
  <si>
    <t>Bank Transfer</t>
  </si>
  <si>
    <t>ORD-0004</t>
  </si>
  <si>
    <t>2025-06-24</t>
  </si>
  <si>
    <t>Customer 087</t>
  </si>
  <si>
    <t>Printer</t>
  </si>
  <si>
    <t>ORD-0005</t>
  </si>
  <si>
    <t>2025-02-19</t>
  </si>
  <si>
    <t>Customer 012</t>
  </si>
  <si>
    <t>ORD-0006</t>
  </si>
  <si>
    <t>2025-02-10</t>
  </si>
  <si>
    <t>Customer 093</t>
  </si>
  <si>
    <t>ORD-0007</t>
  </si>
  <si>
    <t>2025-01-24</t>
  </si>
  <si>
    <t>Mobile Money</t>
  </si>
  <si>
    <t>ORD-0008</t>
  </si>
  <si>
    <t>2025-08-21</t>
  </si>
  <si>
    <t>Customer 054</t>
  </si>
  <si>
    <t>Desk Lamp</t>
  </si>
  <si>
    <t>ORD-0009</t>
  </si>
  <si>
    <t>2025-11-22</t>
  </si>
  <si>
    <t>Customer 042</t>
  </si>
  <si>
    <t>ORD-0010</t>
  </si>
  <si>
    <t>2025-11-24</t>
  </si>
  <si>
    <t>Customer 015</t>
  </si>
  <si>
    <t>ORD-0011</t>
  </si>
  <si>
    <t>2025-07-25</t>
  </si>
  <si>
    <t>Customer 146</t>
  </si>
  <si>
    <t>Notebook Pack</t>
  </si>
  <si>
    <t>Office Supplies</t>
  </si>
  <si>
    <t>ORD-0012</t>
  </si>
  <si>
    <t>2025-07-22</t>
  </si>
  <si>
    <t>Customer 064</t>
  </si>
  <si>
    <t>Backpack</t>
  </si>
  <si>
    <t>Cash</t>
  </si>
  <si>
    <t>ORD-0013</t>
  </si>
  <si>
    <t>2025-08-08</t>
  </si>
  <si>
    <t>Customer 036</t>
  </si>
  <si>
    <t>ORD-0014</t>
  </si>
  <si>
    <t>2025-01-25</t>
  </si>
  <si>
    <t>Customer 109</t>
  </si>
  <si>
    <t>ORD-0015</t>
  </si>
  <si>
    <t>2025-07-15</t>
  </si>
  <si>
    <t>Customer 142</t>
  </si>
  <si>
    <t>ORD-0016</t>
  </si>
  <si>
    <t>2025-05-17</t>
  </si>
  <si>
    <t>Customer 041</t>
  </si>
  <si>
    <t>ORD-0017</t>
  </si>
  <si>
    <t>2025-09-14</t>
  </si>
  <si>
    <t>Customer 077</t>
  </si>
  <si>
    <t>ORD-0018</t>
  </si>
  <si>
    <t>2025-07-11</t>
  </si>
  <si>
    <t>Customer 136</t>
  </si>
  <si>
    <t>Wireless Headphones</t>
  </si>
  <si>
    <t>lagos</t>
  </si>
  <si>
    <t>ORD-0019</t>
  </si>
  <si>
    <t>2025-01-10</t>
  </si>
  <si>
    <t>Customer 079</t>
  </si>
  <si>
    <t>ORD-0020</t>
  </si>
  <si>
    <t>2025-10-18</t>
  </si>
  <si>
    <t>Customer 018</t>
  </si>
  <si>
    <t>Office Chair</t>
  </si>
  <si>
    <t>ORD-0021</t>
  </si>
  <si>
    <t>2025-12-04</t>
  </si>
  <si>
    <t>ORD-0022</t>
  </si>
  <si>
    <t>2025-10-04</t>
  </si>
  <si>
    <t>Customer 096</t>
  </si>
  <si>
    <t>ORD-0023</t>
  </si>
  <si>
    <t>2025-05-07</t>
  </si>
  <si>
    <t>ORD-0024</t>
  </si>
  <si>
    <t>2025-02-06</t>
  </si>
  <si>
    <t>Customer 009</t>
  </si>
  <si>
    <t>Laptop Pro 14</t>
  </si>
  <si>
    <t>ORD-0025</t>
  </si>
  <si>
    <t>2025-05-02</t>
  </si>
  <si>
    <t>Customer 139</t>
  </si>
  <si>
    <t>ORD-0026</t>
  </si>
  <si>
    <t>2025-08-31</t>
  </si>
  <si>
    <t>Customer 111</t>
  </si>
  <si>
    <t>ORD-0027</t>
  </si>
  <si>
    <t>2025-08-28</t>
  </si>
  <si>
    <t>Customer 026</t>
  </si>
  <si>
    <t>ORD-0028</t>
  </si>
  <si>
    <t>2025-02-25</t>
  </si>
  <si>
    <t>Customer 115</t>
  </si>
  <si>
    <t>ORD-0029</t>
  </si>
  <si>
    <t>2025-05-23</t>
  </si>
  <si>
    <t>Customer 020</t>
  </si>
  <si>
    <t>ORD-0030</t>
  </si>
  <si>
    <t>2025-11-30</t>
  </si>
  <si>
    <t>Customer 061</t>
  </si>
  <si>
    <t>ORD-0031</t>
  </si>
  <si>
    <t>2025-09-04</t>
  </si>
  <si>
    <t>Customer 043</t>
  </si>
  <si>
    <t>ORD-0032</t>
  </si>
  <si>
    <t>2025-05-16</t>
  </si>
  <si>
    <t>Customer 143</t>
  </si>
  <si>
    <t>ORD-0033</t>
  </si>
  <si>
    <t>2025-06-01</t>
  </si>
  <si>
    <t>ORD-0034</t>
  </si>
  <si>
    <t>2025-01-26</t>
  </si>
  <si>
    <t>ORD-0035</t>
  </si>
  <si>
    <t>2025-02-11</t>
  </si>
  <si>
    <t>ORD-0036</t>
  </si>
  <si>
    <t>Customer 021</t>
  </si>
  <si>
    <t>ORD-0037</t>
  </si>
  <si>
    <t>2025-04-15</t>
  </si>
  <si>
    <t>Customer 034</t>
  </si>
  <si>
    <t>ORD-0038</t>
  </si>
  <si>
    <t>2025-02-07</t>
  </si>
  <si>
    <t>Customer 145</t>
  </si>
  <si>
    <t>ORD-0039</t>
  </si>
  <si>
    <t>2025-04-20</t>
  </si>
  <si>
    <t>Customer 090</t>
  </si>
  <si>
    <t>ORD-0040</t>
  </si>
  <si>
    <t>2025-05-26</t>
  </si>
  <si>
    <t>Customer 078</t>
  </si>
  <si>
    <t>ORD-0041</t>
  </si>
  <si>
    <t>2025-06-03</t>
  </si>
  <si>
    <t>Customer 028</t>
  </si>
  <si>
    <t>ORD-0042</t>
  </si>
  <si>
    <t>2025-05-25</t>
  </si>
  <si>
    <t>Customer 053</t>
  </si>
  <si>
    <t>ORD-0043</t>
  </si>
  <si>
    <t>2025-01-27</t>
  </si>
  <si>
    <t>Customer 071</t>
  </si>
  <si>
    <t>ORD-0044</t>
  </si>
  <si>
    <t>2025-03-08</t>
  </si>
  <si>
    <t>ORD-0045</t>
  </si>
  <si>
    <t>2025-02-08</t>
  </si>
  <si>
    <t>Customer 095</t>
  </si>
  <si>
    <t>ORD-0046</t>
  </si>
  <si>
    <t>2025-03-07</t>
  </si>
  <si>
    <t>Customer 011</t>
  </si>
  <si>
    <t>ORD-0047</t>
  </si>
  <si>
    <t>2025-12-08</t>
  </si>
  <si>
    <t>Customer 105</t>
  </si>
  <si>
    <t>ORD-0048</t>
  </si>
  <si>
    <t>2025-03-25</t>
  </si>
  <si>
    <t>Customer 086</t>
  </si>
  <si>
    <t>ORD-0049</t>
  </si>
  <si>
    <t>2025-03-23</t>
  </si>
  <si>
    <t>Customer 121</t>
  </si>
  <si>
    <t>ORD-0050</t>
  </si>
  <si>
    <t>2025-06-29</t>
  </si>
  <si>
    <t>Customer 050</t>
  </si>
  <si>
    <t>ORD-0051</t>
  </si>
  <si>
    <t>2025-02-05</t>
  </si>
  <si>
    <t>Customer 103</t>
  </si>
  <si>
    <t>ORD-0052</t>
  </si>
  <si>
    <t>2025-03-01</t>
  </si>
  <si>
    <t>Customer 068</t>
  </si>
  <si>
    <t>ORD-0053</t>
  </si>
  <si>
    <t>2025-08-11</t>
  </si>
  <si>
    <t>Customer 112</t>
  </si>
  <si>
    <t>ORD-0054</t>
  </si>
  <si>
    <t>2025-10-23</t>
  </si>
  <si>
    <t>ORD-0055</t>
  </si>
  <si>
    <t>2025-08-09</t>
  </si>
  <si>
    <t>Customer 081</t>
  </si>
  <si>
    <t>ORD-0056</t>
  </si>
  <si>
    <t>2025-06-08</t>
  </si>
  <si>
    <t>Customer 076</t>
  </si>
  <si>
    <t>ORD-0057</t>
  </si>
  <si>
    <t>2025-08-04</t>
  </si>
  <si>
    <t>Customer 045</t>
  </si>
  <si>
    <t>ORD-0058</t>
  </si>
  <si>
    <t>2025-10-08</t>
  </si>
  <si>
    <t>ORD-0059</t>
  </si>
  <si>
    <t>2025-08-15</t>
  </si>
  <si>
    <t>Customer 122</t>
  </si>
  <si>
    <t>ORD-0060</t>
  </si>
  <si>
    <t>2025-09-21</t>
  </si>
  <si>
    <t>ORD-0061</t>
  </si>
  <si>
    <t>2025-03-17</t>
  </si>
  <si>
    <t>ORD-0062</t>
  </si>
  <si>
    <t>2025-08-01</t>
  </si>
  <si>
    <t>Customer 099</t>
  </si>
  <si>
    <t>ORD-0063</t>
  </si>
  <si>
    <t>Customer 057</t>
  </si>
  <si>
    <t>ORD-0064</t>
  </si>
  <si>
    <t>2025-10-13</t>
  </si>
  <si>
    <t>Customer 119</t>
  </si>
  <si>
    <t>ORD-0065</t>
  </si>
  <si>
    <t>2025-11-10</t>
  </si>
  <si>
    <t>Customer 141</t>
  </si>
  <si>
    <t>ORD-0066</t>
  </si>
  <si>
    <t>2025-08-19</t>
  </si>
  <si>
    <t>ORD-0067</t>
  </si>
  <si>
    <t>2025-05-21</t>
  </si>
  <si>
    <t>ORD-0068</t>
  </si>
  <si>
    <t>ORD-0069</t>
  </si>
  <si>
    <t>Customer 107</t>
  </si>
  <si>
    <t>ORD-0070</t>
  </si>
  <si>
    <t>2025-07-19</t>
  </si>
  <si>
    <t>Customer 148</t>
  </si>
  <si>
    <t>ORD-0071</t>
  </si>
  <si>
    <t>2025-06-30</t>
  </si>
  <si>
    <t>Customer 108</t>
  </si>
  <si>
    <t>ORD-0072</t>
  </si>
  <si>
    <t>2025-04-23</t>
  </si>
  <si>
    <t>Customer 100</t>
  </si>
  <si>
    <t>ORD-0073</t>
  </si>
  <si>
    <t>Customer 101</t>
  </si>
  <si>
    <t>ORD-0074</t>
  </si>
  <si>
    <t>2025-11-26</t>
  </si>
  <si>
    <t>Customer 047</t>
  </si>
  <si>
    <t>ORD-0075</t>
  </si>
  <si>
    <t>2025-06-17</t>
  </si>
  <si>
    <t>Customer 098</t>
  </si>
  <si>
    <t>ORD-0076</t>
  </si>
  <si>
    <t>Customer 014</t>
  </si>
  <si>
    <t>ORD-0077</t>
  </si>
  <si>
    <t>Customer 052</t>
  </si>
  <si>
    <t>ORD-0078</t>
  </si>
  <si>
    <t>2025-03-06</t>
  </si>
  <si>
    <t>Customer 056</t>
  </si>
  <si>
    <t>ORD-0079</t>
  </si>
  <si>
    <t>2025-03-27</t>
  </si>
  <si>
    <t>Customer 030</t>
  </si>
  <si>
    <t>ORD-0080</t>
  </si>
  <si>
    <t>2025-10-24</t>
  </si>
  <si>
    <t>Customer 097</t>
  </si>
  <si>
    <t>ORD-0081</t>
  </si>
  <si>
    <t>2025-10-31</t>
  </si>
  <si>
    <t>ORD-0082</t>
  </si>
  <si>
    <t>2025-01-22</t>
  </si>
  <si>
    <t>ORD-0083</t>
  </si>
  <si>
    <t>ORD-0084</t>
  </si>
  <si>
    <t>2025-04-01</t>
  </si>
  <si>
    <t>Customer 138</t>
  </si>
  <si>
    <t>ORD-0085</t>
  </si>
  <si>
    <t>Customer 023</t>
  </si>
  <si>
    <t>bank transfer</t>
  </si>
  <si>
    <t>ORD-0086</t>
  </si>
  <si>
    <t>2025-08-26</t>
  </si>
  <si>
    <t>ORD-0087</t>
  </si>
  <si>
    <t>2025-04-04</t>
  </si>
  <si>
    <t>Customer 067</t>
  </si>
  <si>
    <t>ORD-0088</t>
  </si>
  <si>
    <t>2025-12-26</t>
  </si>
  <si>
    <t>Customer 049</t>
  </si>
  <si>
    <t>ORD-0089</t>
  </si>
  <si>
    <t>2025-09-08</t>
  </si>
  <si>
    <t>Customer 126</t>
  </si>
  <si>
    <t>ORD-0090</t>
  </si>
  <si>
    <t>2025-05-31</t>
  </si>
  <si>
    <t>ORD-0091</t>
  </si>
  <si>
    <t>2025-10-11</t>
  </si>
  <si>
    <t>ORD-0092</t>
  </si>
  <si>
    <t>2025-05-19</t>
  </si>
  <si>
    <t>ORD-0093</t>
  </si>
  <si>
    <t>2025-12-20</t>
  </si>
  <si>
    <t>Customer 124</t>
  </si>
  <si>
    <t>ORD-0094</t>
  </si>
  <si>
    <t>2025-04-10</t>
  </si>
  <si>
    <t>ORD-0095</t>
  </si>
  <si>
    <t>Customer 033</t>
  </si>
  <si>
    <t>ORD-0096</t>
  </si>
  <si>
    <t>2025-10-21</t>
  </si>
  <si>
    <t>Customer 088</t>
  </si>
  <si>
    <t>ORD-0097</t>
  </si>
  <si>
    <t>2025-09-02</t>
  </si>
  <si>
    <t>Customer 019</t>
  </si>
  <si>
    <t>ORD-0098</t>
  </si>
  <si>
    <t>2025-03-18</t>
  </si>
  <si>
    <t>ORD-0099</t>
  </si>
  <si>
    <t>2025-11-02</t>
  </si>
  <si>
    <t>ORD-0100</t>
  </si>
  <si>
    <t>2025-10-29</t>
  </si>
  <si>
    <t>Customer 016</t>
  </si>
  <si>
    <t>ORD-0101</t>
  </si>
  <si>
    <t>2025-11-17</t>
  </si>
  <si>
    <t>ORD-0102</t>
  </si>
  <si>
    <t>ORD-0103</t>
  </si>
  <si>
    <t>2025-05-28</t>
  </si>
  <si>
    <t>ORD-0104</t>
  </si>
  <si>
    <t>2025-12-05</t>
  </si>
  <si>
    <t>Customer 058</t>
  </si>
  <si>
    <t>ORD-0105</t>
  </si>
  <si>
    <t>ORD-0106</t>
  </si>
  <si>
    <t>Customer 070</t>
  </si>
  <si>
    <t>ORD-0107</t>
  </si>
  <si>
    <t>Customer 083</t>
  </si>
  <si>
    <t>ORD-0108</t>
  </si>
  <si>
    <t>2025-02-16</t>
  </si>
  <si>
    <t>ORD-0109</t>
  </si>
  <si>
    <t>Customer 114</t>
  </si>
  <si>
    <t>ORD-0110</t>
  </si>
  <si>
    <t>2025-08-12</t>
  </si>
  <si>
    <t>ORD-0111</t>
  </si>
  <si>
    <t>2025-03-24</t>
  </si>
  <si>
    <t>Customer 074</t>
  </si>
  <si>
    <t>ORD-0112</t>
  </si>
  <si>
    <t>2025-02-15</t>
  </si>
  <si>
    <t>Customer 104</t>
  </si>
  <si>
    <t>ORD-0113</t>
  </si>
  <si>
    <t>2025-08-25</t>
  </si>
  <si>
    <t>ORD-0114</t>
  </si>
  <si>
    <t>ORD-0115</t>
  </si>
  <si>
    <t>2025-01-15</t>
  </si>
  <si>
    <t>Customer 080</t>
  </si>
  <si>
    <t>ORD-0116</t>
  </si>
  <si>
    <t>2025-07-28</t>
  </si>
  <si>
    <t>ORD-0117</t>
  </si>
  <si>
    <t>2025-09-13</t>
  </si>
  <si>
    <t>ORD-0118</t>
  </si>
  <si>
    <t>2025-08-22</t>
  </si>
  <si>
    <t>Customer 131</t>
  </si>
  <si>
    <t>ORD-0119</t>
  </si>
  <si>
    <t>Customer 001</t>
  </si>
  <si>
    <t>ORD-0120</t>
  </si>
  <si>
    <t>ORD-0121</t>
  </si>
  <si>
    <t>2025-10-06</t>
  </si>
  <si>
    <t>ORD-0122</t>
  </si>
  <si>
    <t>2025-07-30</t>
  </si>
  <si>
    <t>ORD-0123</t>
  </si>
  <si>
    <t>2025-01-19</t>
  </si>
  <si>
    <t>Customer 085</t>
  </si>
  <si>
    <t>ORD-0124</t>
  </si>
  <si>
    <t>2025-09-27</t>
  </si>
  <si>
    <t>ORD-0125</t>
  </si>
  <si>
    <t>ORD-0126</t>
  </si>
  <si>
    <t>ORD-0127</t>
  </si>
  <si>
    <t>ORD-0128</t>
  </si>
  <si>
    <t>ORD-0129</t>
  </si>
  <si>
    <t>2025-03-16</t>
  </si>
  <si>
    <t>ORD-0130</t>
  </si>
  <si>
    <t>2025-11-09</t>
  </si>
  <si>
    <t>Customer 128</t>
  </si>
  <si>
    <t>ORD-0131</t>
  </si>
  <si>
    <t>Customer 003</t>
  </si>
  <si>
    <t>ORD-0132</t>
  </si>
  <si>
    <t>2025-03-22</t>
  </si>
  <si>
    <t>ORD-0133</t>
  </si>
  <si>
    <t>2025-06-04</t>
  </si>
  <si>
    <t>ORD-0134</t>
  </si>
  <si>
    <t>2025-07-03</t>
  </si>
  <si>
    <t>ORD-0135</t>
  </si>
  <si>
    <t>2025-01-05</t>
  </si>
  <si>
    <t>Customer 013</t>
  </si>
  <si>
    <t>ORD-0136</t>
  </si>
  <si>
    <t>2025-04-28</t>
  </si>
  <si>
    <t>ORD-0137</t>
  </si>
  <si>
    <t>2025-11-18</t>
  </si>
  <si>
    <t>ORD-0138</t>
  </si>
  <si>
    <t>2025-07-06</t>
  </si>
  <si>
    <t>Customer 084</t>
  </si>
  <si>
    <t>ORD-0139</t>
  </si>
  <si>
    <t>2025-03-09</t>
  </si>
  <si>
    <t>ORD-0140</t>
  </si>
  <si>
    <t>ORD-0141</t>
  </si>
  <si>
    <t>Customer 004</t>
  </si>
  <si>
    <t>ORD-0142</t>
  </si>
  <si>
    <t>2025-07-08</t>
  </si>
  <si>
    <t>ORD-0143</t>
  </si>
  <si>
    <t>ORD-0144</t>
  </si>
  <si>
    <t>2025-11-29</t>
  </si>
  <si>
    <t>Customer 010</t>
  </si>
  <si>
    <t>ORD-0145</t>
  </si>
  <si>
    <t>Customer 117</t>
  </si>
  <si>
    <t>ORD-0146</t>
  </si>
  <si>
    <t>2025-03-21</t>
  </si>
  <si>
    <t>ORD-0147</t>
  </si>
  <si>
    <t>2025-01-17</t>
  </si>
  <si>
    <t>ORD-0148</t>
  </si>
  <si>
    <t>ORD-0149</t>
  </si>
  <si>
    <t>2025-12-06</t>
  </si>
  <si>
    <t>Customer 006</t>
  </si>
  <si>
    <t>ORD-0150</t>
  </si>
  <si>
    <t>ORD-0151</t>
  </si>
  <si>
    <t>2025-06-18</t>
  </si>
  <si>
    <t>Customer 038</t>
  </si>
  <si>
    <t>ORD-0152</t>
  </si>
  <si>
    <t>2025-02-26</t>
  </si>
  <si>
    <t>ORD-0153</t>
  </si>
  <si>
    <t>2025-03-31</t>
  </si>
  <si>
    <t>ORD-0154</t>
  </si>
  <si>
    <t>2025-09-01</t>
  </si>
  <si>
    <t>ORD-0155</t>
  </si>
  <si>
    <t>2025-01-23</t>
  </si>
  <si>
    <t>Customer 008</t>
  </si>
  <si>
    <t>ORD-0156</t>
  </si>
  <si>
    <t>2025-08-07</t>
  </si>
  <si>
    <t>ORD-0157</t>
  </si>
  <si>
    <t>2025-11-08</t>
  </si>
  <si>
    <t>Customer 150</t>
  </si>
  <si>
    <t>ORD-0158</t>
  </si>
  <si>
    <t>ORD-0159</t>
  </si>
  <si>
    <t>2025-04-21</t>
  </si>
  <si>
    <t>Customer 106</t>
  </si>
  <si>
    <t>ORD-0160</t>
  </si>
  <si>
    <t>Customer 066</t>
  </si>
  <si>
    <t>ORD-0161</t>
  </si>
  <si>
    <t>2025-02-04</t>
  </si>
  <si>
    <t>Customer 025</t>
  </si>
  <si>
    <t>ORD-0162</t>
  </si>
  <si>
    <t>2025-01-31</t>
  </si>
  <si>
    <t>Customer 032</t>
  </si>
  <si>
    <t>ORD-0163</t>
  </si>
  <si>
    <t>ORD-0164</t>
  </si>
  <si>
    <t>2025-12-03</t>
  </si>
  <si>
    <t>ORD-0165</t>
  </si>
  <si>
    <t>Customer 144</t>
  </si>
  <si>
    <t>ORD-0166</t>
  </si>
  <si>
    <t>ORD-0167</t>
  </si>
  <si>
    <t>2025-04-03</t>
  </si>
  <si>
    <t>ORD-0168</t>
  </si>
  <si>
    <t>2025-09-29</t>
  </si>
  <si>
    <t>ORD-0169</t>
  </si>
  <si>
    <t>2025-06-16</t>
  </si>
  <si>
    <t>ORD-0170</t>
  </si>
  <si>
    <t>ORD-0171</t>
  </si>
  <si>
    <t>2025-05-20</t>
  </si>
  <si>
    <t>ORD-0172</t>
  </si>
  <si>
    <t>2025-09-07</t>
  </si>
  <si>
    <t>ORD-0173</t>
  </si>
  <si>
    <t>ORD-0174</t>
  </si>
  <si>
    <t>2025-01-04</t>
  </si>
  <si>
    <t>ORD-0175</t>
  </si>
  <si>
    <t>2025-10-14</t>
  </si>
  <si>
    <t>ORD-0176</t>
  </si>
  <si>
    <t>2025-02-09</t>
  </si>
  <si>
    <t>ORD-0177</t>
  </si>
  <si>
    <t>2025-07-27</t>
  </si>
  <si>
    <t>Customer 118</t>
  </si>
  <si>
    <t>ORD-0178</t>
  </si>
  <si>
    <t>2025-02-24</t>
  </si>
  <si>
    <t>Customer 135</t>
  </si>
  <si>
    <t>ORD-0179</t>
  </si>
  <si>
    <t>2025-06-23</t>
  </si>
  <si>
    <t>ORD-0180</t>
  </si>
  <si>
    <t>2025-09-19</t>
  </si>
  <si>
    <t>ORD-0181</t>
  </si>
  <si>
    <t>2025-05-12</t>
  </si>
  <si>
    <t>ORD-0182</t>
  </si>
  <si>
    <t>2025-10-16</t>
  </si>
  <si>
    <t>ORD-0183</t>
  </si>
  <si>
    <t>2025-03-19</t>
  </si>
  <si>
    <t>ORD-0184</t>
  </si>
  <si>
    <t>2025-09-17</t>
  </si>
  <si>
    <t>ORD-0185</t>
  </si>
  <si>
    <t>ORD-0186</t>
  </si>
  <si>
    <t>2025-10-20</t>
  </si>
  <si>
    <t>Customer 129</t>
  </si>
  <si>
    <t>ORD-0187</t>
  </si>
  <si>
    <t>2025-02-22</t>
  </si>
  <si>
    <t>ORD-0188</t>
  </si>
  <si>
    <t>2025-08-13</t>
  </si>
  <si>
    <t>Customer 094</t>
  </si>
  <si>
    <t>ORD-0189</t>
  </si>
  <si>
    <t>2025-07-29</t>
  </si>
  <si>
    <t>ORD-0190</t>
  </si>
  <si>
    <t>Customer 039</t>
  </si>
  <si>
    <t>ORD-0191</t>
  </si>
  <si>
    <t>ORD-0192</t>
  </si>
  <si>
    <t>ORD-0193</t>
  </si>
  <si>
    <t>2025-09-18</t>
  </si>
  <si>
    <t>ORD-0194</t>
  </si>
  <si>
    <t>2025-04-09</t>
  </si>
  <si>
    <t>ORD-0195</t>
  </si>
  <si>
    <t>2025-11-13</t>
  </si>
  <si>
    <t>ORD-0196</t>
  </si>
  <si>
    <t>ORD-0197</t>
  </si>
  <si>
    <t>2025-04-30</t>
  </si>
  <si>
    <t>ORD-0198</t>
  </si>
  <si>
    <t>2025-08-14</t>
  </si>
  <si>
    <t>ORD-0199</t>
  </si>
  <si>
    <t>2025-04-13</t>
  </si>
  <si>
    <t>ORD-0200</t>
  </si>
  <si>
    <t>ORD-0201</t>
  </si>
  <si>
    <t>ORD-0202</t>
  </si>
  <si>
    <t>ORD-0203</t>
  </si>
  <si>
    <t>2025-04-25</t>
  </si>
  <si>
    <t>ORD-0204</t>
  </si>
  <si>
    <t>2025-05-27</t>
  </si>
  <si>
    <t>ORD-0205</t>
  </si>
  <si>
    <t>ORD-0206</t>
  </si>
  <si>
    <t>Customer 062</t>
  </si>
  <si>
    <t>ORD-0207</t>
  </si>
  <si>
    <t>Customer 132</t>
  </si>
  <si>
    <t>ORD-0208</t>
  </si>
  <si>
    <t>2025-05-30</t>
  </si>
  <si>
    <t>ORD-0209</t>
  </si>
  <si>
    <t>2025-12-07</t>
  </si>
  <si>
    <t>ORD-0210</t>
  </si>
  <si>
    <t>2025-08-29</t>
  </si>
  <si>
    <t>ORD-0211</t>
  </si>
  <si>
    <t>ORD-0212</t>
  </si>
  <si>
    <t>ORD-0213</t>
  </si>
  <si>
    <t>2025-03-11</t>
  </si>
  <si>
    <t>ORD-0214</t>
  </si>
  <si>
    <t>ORD-0215</t>
  </si>
  <si>
    <t>ORD-0216</t>
  </si>
  <si>
    <t>2025-12-02</t>
  </si>
  <si>
    <t>ORD-0217</t>
  </si>
  <si>
    <t>2025-07-17</t>
  </si>
  <si>
    <t>ORD-0218</t>
  </si>
  <si>
    <t>2025-08-06</t>
  </si>
  <si>
    <t>ORD-0219</t>
  </si>
  <si>
    <t>ORD-0220</t>
  </si>
  <si>
    <t>Customer 091</t>
  </si>
  <si>
    <t>ORD-0221</t>
  </si>
  <si>
    <t>ORD-0222</t>
  </si>
  <si>
    <t>2025-03-15</t>
  </si>
  <si>
    <t>ORD-0223</t>
  </si>
  <si>
    <t>2025-11-27</t>
  </si>
  <si>
    <t>ORD-0224</t>
  </si>
  <si>
    <t>2025-07-09</t>
  </si>
  <si>
    <t>Customer 147</t>
  </si>
  <si>
    <t>ORD-0225</t>
  </si>
  <si>
    <t>2025-06-10</t>
  </si>
  <si>
    <t>Customer 007</t>
  </si>
  <si>
    <t>ORD-0226</t>
  </si>
  <si>
    <t>2025-07-18</t>
  </si>
  <si>
    <t>ORD-0227</t>
  </si>
  <si>
    <t>ORD-0228</t>
  </si>
  <si>
    <t>2025-02-14</t>
  </si>
  <si>
    <t>Customer 017</t>
  </si>
  <si>
    <t>ORD-0229</t>
  </si>
  <si>
    <t>ORD-0230</t>
  </si>
  <si>
    <t>2025-09-10</t>
  </si>
  <si>
    <t>ORD-0231</t>
  </si>
  <si>
    <t>Customer 123</t>
  </si>
  <si>
    <t>ORD-0232</t>
  </si>
  <si>
    <t>2025-10-22</t>
  </si>
  <si>
    <t>ORD-0233</t>
  </si>
  <si>
    <t>2025-06-26</t>
  </si>
  <si>
    <t>ORD-0234</t>
  </si>
  <si>
    <t>2025-01-29</t>
  </si>
  <si>
    <t>ORD-0235</t>
  </si>
  <si>
    <t>2025-06-27</t>
  </si>
  <si>
    <t>Customer 065</t>
  </si>
  <si>
    <t>ORD-0236</t>
  </si>
  <si>
    <t>ORD-0237</t>
  </si>
  <si>
    <t>ORD-0238</t>
  </si>
  <si>
    <t>ORD-0239</t>
  </si>
  <si>
    <t>Customer 140</t>
  </si>
  <si>
    <t>ORD-0240</t>
  </si>
  <si>
    <t>2025-05-06</t>
  </si>
  <si>
    <t>ORD-0241</t>
  </si>
  <si>
    <t>2025-09-05</t>
  </si>
  <si>
    <t>Customer 037</t>
  </si>
  <si>
    <t>ORD-0242</t>
  </si>
  <si>
    <t>2025-07-24</t>
  </si>
  <si>
    <t>ORD-0243</t>
  </si>
  <si>
    <t>2025-03-04</t>
  </si>
  <si>
    <t>ORD-0244</t>
  </si>
  <si>
    <t>2025-11-12</t>
  </si>
  <si>
    <t>ORD-0245</t>
  </si>
  <si>
    <t>ORD-0246</t>
  </si>
  <si>
    <t>2025-07-21</t>
  </si>
  <si>
    <t>ORD-0247</t>
  </si>
  <si>
    <t>ORD-0248</t>
  </si>
  <si>
    <t>ORD-0249</t>
  </si>
  <si>
    <t>ORD-0250</t>
  </si>
  <si>
    <t>2025-09-16</t>
  </si>
  <si>
    <t>Customer 031</t>
  </si>
  <si>
    <t>ORD-0251</t>
  </si>
  <si>
    <t>ORD-0252</t>
  </si>
  <si>
    <t>2025-01-21</t>
  </si>
  <si>
    <t>ORD-0253</t>
  </si>
  <si>
    <t>2025-11-07</t>
  </si>
  <si>
    <t>Customer 082</t>
  </si>
  <si>
    <t>ORD-0254</t>
  </si>
  <si>
    <t>ORD-0255</t>
  </si>
  <si>
    <t>Customer 029</t>
  </si>
  <si>
    <t>ORD-0256</t>
  </si>
  <si>
    <t>Customer 149</t>
  </si>
  <si>
    <t>ORD-0257</t>
  </si>
  <si>
    <t>2025-10-26</t>
  </si>
  <si>
    <t>ORD-0258</t>
  </si>
  <si>
    <t>ORD-0259</t>
  </si>
  <si>
    <t>ORD-0260</t>
  </si>
  <si>
    <t>2025-04-17</t>
  </si>
  <si>
    <t>ORD-0261</t>
  </si>
  <si>
    <t>2025-03-30</t>
  </si>
  <si>
    <t>ORD-0262</t>
  </si>
  <si>
    <t>ORD-0263</t>
  </si>
  <si>
    <t>2025-06-12</t>
  </si>
  <si>
    <t>ORD-0264</t>
  </si>
  <si>
    <t>2025-12-13</t>
  </si>
  <si>
    <t>Customer 102</t>
  </si>
  <si>
    <t>ORD-0265</t>
  </si>
  <si>
    <t>ORD-0266</t>
  </si>
  <si>
    <t>2025-04-14</t>
  </si>
  <si>
    <t>ORD-0267</t>
  </si>
  <si>
    <t>2025-10-28</t>
  </si>
  <si>
    <t>ORD-0268</t>
  </si>
  <si>
    <t>2025-02-21</t>
  </si>
  <si>
    <t>ORD-0269</t>
  </si>
  <si>
    <t>ORD-0270</t>
  </si>
  <si>
    <t>2025-06-14</t>
  </si>
  <si>
    <t>ORD-0271</t>
  </si>
  <si>
    <t>2025-01-20</t>
  </si>
  <si>
    <t>Customer 046</t>
  </si>
  <si>
    <t>ORD-0272</t>
  </si>
  <si>
    <t>2025-04-06</t>
  </si>
  <si>
    <t>ORD-0273</t>
  </si>
  <si>
    <t>Customer 127</t>
  </si>
  <si>
    <t>ORD-0274</t>
  </si>
  <si>
    <t>ORD-0275</t>
  </si>
  <si>
    <t>2025-06-22</t>
  </si>
  <si>
    <t>ORD-0276</t>
  </si>
  <si>
    <t>ORD-0277</t>
  </si>
  <si>
    <t>2025-06-15</t>
  </si>
  <si>
    <t>ORD-0278</t>
  </si>
  <si>
    <t>ORD-0279</t>
  </si>
  <si>
    <t>ORD-0280</t>
  </si>
  <si>
    <t>ORD-0281</t>
  </si>
  <si>
    <t>ORD-0282</t>
  </si>
  <si>
    <t>2025-12-15</t>
  </si>
  <si>
    <t>ORD-0283</t>
  </si>
  <si>
    <t>2025-02-27</t>
  </si>
  <si>
    <t>ORD-0284</t>
  </si>
  <si>
    <t>ORD-0285</t>
  </si>
  <si>
    <t>ORD-0286</t>
  </si>
  <si>
    <t>2025-01-30</t>
  </si>
  <si>
    <t>ORD-0287</t>
  </si>
  <si>
    <t>2025-01-02</t>
  </si>
  <si>
    <t>ORD-0288</t>
  </si>
  <si>
    <t>ORD-0289</t>
  </si>
  <si>
    <t>ORD-0290</t>
  </si>
  <si>
    <t>2025-03-10</t>
  </si>
  <si>
    <t>ORD-0291</t>
  </si>
  <si>
    <t>ORD-0292</t>
  </si>
  <si>
    <t>ORD-0293</t>
  </si>
  <si>
    <t>2025-11-11</t>
  </si>
  <si>
    <t>ORD-0294</t>
  </si>
  <si>
    <t>2025-11-03</t>
  </si>
  <si>
    <t>ORD-0295</t>
  </si>
  <si>
    <t>2025-04-22</t>
  </si>
  <si>
    <t>Customer 075</t>
  </si>
  <si>
    <t>ORD-0296</t>
  </si>
  <si>
    <t>ORD-0297</t>
  </si>
  <si>
    <t>ORD-0298</t>
  </si>
  <si>
    <t>ORD-0299</t>
  </si>
  <si>
    <t>2025-07-12</t>
  </si>
  <si>
    <t>ORD-0300</t>
  </si>
  <si>
    <t>ORD-0301</t>
  </si>
  <si>
    <t>2025-05-05</t>
  </si>
  <si>
    <t>ORD-0302</t>
  </si>
  <si>
    <t>2025-10-02</t>
  </si>
  <si>
    <t>ORD-0303</t>
  </si>
  <si>
    <t>2025-12-10</t>
  </si>
  <si>
    <t xml:space="preserve">Wireless Headphones </t>
  </si>
  <si>
    <t>ORD-0304</t>
  </si>
  <si>
    <t>2025-04-08</t>
  </si>
  <si>
    <t>ORD-0305</t>
  </si>
  <si>
    <t>2025-05-03</t>
  </si>
  <si>
    <t>ORD-0306</t>
  </si>
  <si>
    <t>2025-05-14</t>
  </si>
  <si>
    <t>Customer 120</t>
  </si>
  <si>
    <t>ORD-0307</t>
  </si>
  <si>
    <t>ORD-0308</t>
  </si>
  <si>
    <t>ORD-0309</t>
  </si>
  <si>
    <t>Customer 063</t>
  </si>
  <si>
    <t>ORD-0310</t>
  </si>
  <si>
    <t>ORD-0311</t>
  </si>
  <si>
    <t>ORD-0312</t>
  </si>
  <si>
    <t>2025-12-09</t>
  </si>
  <si>
    <t>ORD-0313</t>
  </si>
  <si>
    <t>ORD-0314</t>
  </si>
  <si>
    <t>2025-09-30</t>
  </si>
  <si>
    <t>ORD-0315</t>
  </si>
  <si>
    <t>2025-09-15</t>
  </si>
  <si>
    <t>ORD-0316</t>
  </si>
  <si>
    <t>ORD-0317</t>
  </si>
  <si>
    <t>ORD-0318</t>
  </si>
  <si>
    <t>2025-02-17</t>
  </si>
  <si>
    <t>ORD-0319</t>
  </si>
  <si>
    <t>2025-02-12</t>
  </si>
  <si>
    <t>ORD-0320</t>
  </si>
  <si>
    <t>ORD-0321</t>
  </si>
  <si>
    <t>ORD-0322</t>
  </si>
  <si>
    <t>ORD-0323</t>
  </si>
  <si>
    <t>ORD-0324</t>
  </si>
  <si>
    <t>2025-03-13</t>
  </si>
  <si>
    <t>Customer 089</t>
  </si>
  <si>
    <t>ORD-0325</t>
  </si>
  <si>
    <t>2025-04-29</t>
  </si>
  <si>
    <t>ORD-0326</t>
  </si>
  <si>
    <t>ORD-0327</t>
  </si>
  <si>
    <t>ORD-0328</t>
  </si>
  <si>
    <t>2025-05-18</t>
  </si>
  <si>
    <t>Customer 040</t>
  </si>
  <si>
    <t>ORD-0329</t>
  </si>
  <si>
    <t>ORD-0330</t>
  </si>
  <si>
    <t>ORD-0331</t>
  </si>
  <si>
    <t>2025-01-14</t>
  </si>
  <si>
    <t>ORD-0332</t>
  </si>
  <si>
    <t>2025-07-31</t>
  </si>
  <si>
    <t>ORD-0333</t>
  </si>
  <si>
    <t>2025-03-28</t>
  </si>
  <si>
    <t>ORD-0334</t>
  </si>
  <si>
    <t>ORD-0335</t>
  </si>
  <si>
    <t>ORD-0336</t>
  </si>
  <si>
    <t>ORD-0337</t>
  </si>
  <si>
    <t>ORD-0338</t>
  </si>
  <si>
    <t>2025-07-23</t>
  </si>
  <si>
    <t>ORD-0339</t>
  </si>
  <si>
    <t>ORD-0340</t>
  </si>
  <si>
    <t>ORD-0341</t>
  </si>
  <si>
    <t>ORD-0342</t>
  </si>
  <si>
    <t>2025-08-18</t>
  </si>
  <si>
    <t>Customer 137</t>
  </si>
  <si>
    <t>ORD-0343</t>
  </si>
  <si>
    <t>ORD-0344</t>
  </si>
  <si>
    <t>2025-05-08</t>
  </si>
  <si>
    <t>ORD-0345</t>
  </si>
  <si>
    <t>ORD-0346</t>
  </si>
  <si>
    <t>ORD-0347</t>
  </si>
  <si>
    <t>Customer 022</t>
  </si>
  <si>
    <t>ORD-0348</t>
  </si>
  <si>
    <t>2025-06-09</t>
  </si>
  <si>
    <t>Customer 134</t>
  </si>
  <si>
    <t>ORD-0349</t>
  </si>
  <si>
    <t>ORD-0350</t>
  </si>
  <si>
    <t>2025-12-30</t>
  </si>
  <si>
    <t>ORD-0351</t>
  </si>
  <si>
    <t>Customer 110</t>
  </si>
  <si>
    <t>ORD-0352</t>
  </si>
  <si>
    <t>2025-11-19</t>
  </si>
  <si>
    <t>ORD-0353</t>
  </si>
  <si>
    <t>Customer 002</t>
  </si>
  <si>
    <t>ORD-0354</t>
  </si>
  <si>
    <t>2025-12-27</t>
  </si>
  <si>
    <t>ORD-0355</t>
  </si>
  <si>
    <t>2025-04-11</t>
  </si>
  <si>
    <t>ORD-0356</t>
  </si>
  <si>
    <t>ORD-0357</t>
  </si>
  <si>
    <t>Customer 035</t>
  </si>
  <si>
    <t>ORD-0358</t>
  </si>
  <si>
    <t>2025-06-06</t>
  </si>
  <si>
    <t>ORD-0359</t>
  </si>
  <si>
    <t>Customer 048</t>
  </si>
  <si>
    <t>ORD-0360</t>
  </si>
  <si>
    <t>ORD-0361</t>
  </si>
  <si>
    <t>ORD-0362</t>
  </si>
  <si>
    <t>2025-12-17</t>
  </si>
  <si>
    <t>ORD-0363</t>
  </si>
  <si>
    <t>2025-10-17</t>
  </si>
  <si>
    <t>ORD-0364</t>
  </si>
  <si>
    <t>2025-08-23</t>
  </si>
  <si>
    <t>ORD-0365</t>
  </si>
  <si>
    <t>2025-02-28</t>
  </si>
  <si>
    <t>ORD-0366</t>
  </si>
  <si>
    <t>2025-10-07</t>
  </si>
  <si>
    <t>ORD-0367</t>
  </si>
  <si>
    <t>2025-05-15</t>
  </si>
  <si>
    <t>ORD-0368</t>
  </si>
  <si>
    <t>2025-12-19</t>
  </si>
  <si>
    <t>ORD-0369</t>
  </si>
  <si>
    <t>2025-04-16</t>
  </si>
  <si>
    <t>ORD-0370</t>
  </si>
  <si>
    <t>ORD-0371</t>
  </si>
  <si>
    <t>ORD-0372</t>
  </si>
  <si>
    <t>Customer 069</t>
  </si>
  <si>
    <t>ORD-0373</t>
  </si>
  <si>
    <t>ORD-0374</t>
  </si>
  <si>
    <t>Customer 024</t>
  </si>
  <si>
    <t>ORD-0375</t>
  </si>
  <si>
    <t>2025-10-01</t>
  </si>
  <si>
    <t>Customer 055</t>
  </si>
  <si>
    <t>ORD-0376</t>
  </si>
  <si>
    <t>ORD-0377</t>
  </si>
  <si>
    <t>ORD-0378</t>
  </si>
  <si>
    <t>ORD-0379</t>
  </si>
  <si>
    <t>ORD-0380</t>
  </si>
  <si>
    <t>ORD-0381</t>
  </si>
  <si>
    <t>2025-01-01</t>
  </si>
  <si>
    <t>ORD-0382</t>
  </si>
  <si>
    <t>ORD-0383</t>
  </si>
  <si>
    <t>ORD-0384</t>
  </si>
  <si>
    <t>ORD-0385</t>
  </si>
  <si>
    <t>Customer 113</t>
  </si>
  <si>
    <t>ORD-0386</t>
  </si>
  <si>
    <t>ORD-0387</t>
  </si>
  <si>
    <t>2025-03-05</t>
  </si>
  <si>
    <t>ORD-0388</t>
  </si>
  <si>
    <t>2025-05-22</t>
  </si>
  <si>
    <t>Customer 073</t>
  </si>
  <si>
    <t>ORD-0389</t>
  </si>
  <si>
    <t>2025-09-23</t>
  </si>
  <si>
    <t>ORD-0390</t>
  </si>
  <si>
    <t>2025-09-11</t>
  </si>
  <si>
    <t>ORD-0391</t>
  </si>
  <si>
    <t>ORD-0392</t>
  </si>
  <si>
    <t>2025-12-16</t>
  </si>
  <si>
    <t>ORD-0393</t>
  </si>
  <si>
    <t>ORD-0394</t>
  </si>
  <si>
    <t>ORD-0395</t>
  </si>
  <si>
    <t>ORD-0396</t>
  </si>
  <si>
    <t>ORD-0397</t>
  </si>
  <si>
    <t>ORD-0398</t>
  </si>
  <si>
    <t>2025-01-07</t>
  </si>
  <si>
    <t>ORD-0399</t>
  </si>
  <si>
    <t>2025-07-10</t>
  </si>
  <si>
    <t>ORD-0400</t>
  </si>
  <si>
    <t>ORD-0401</t>
  </si>
  <si>
    <t>2025-05-11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</si>
  <si>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</si>
  <si>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</si>
  <si>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</si>
  <si>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</si>
  <si>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</si>
  <si>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</si>
  <si>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</si>
  <si>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</si>
  <si>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ORD-0411</t>
  </si>
  <si>
    <t>2025-09-09</t>
  </si>
  <si>
    <t>ORD-0412</t>
  </si>
  <si>
    <t>ORD-0413</t>
  </si>
  <si>
    <t>ORD-0414</t>
  </si>
  <si>
    <t>ORD-0415</t>
  </si>
  <si>
    <t>ORD-0416</t>
  </si>
  <si>
    <t>ORD-0417</t>
  </si>
  <si>
    <t>2025-08-20</t>
  </si>
  <si>
    <t>ORD-0418</t>
  </si>
  <si>
    <t>ORD-0419</t>
  </si>
  <si>
    <t>2025-07-02</t>
  </si>
  <si>
    <t>ORD-0420</t>
  </si>
  <si>
    <t>ORD-0421</t>
  </si>
  <si>
    <t>ORD-0422</t>
  </si>
  <si>
    <t>ORD-0423</t>
  </si>
  <si>
    <t>ORD-0424</t>
  </si>
  <si>
    <t>ORD-0425</t>
  </si>
  <si>
    <t>ORD-0426</t>
  </si>
  <si>
    <t>ORD-0427</t>
  </si>
  <si>
    <t>2025-10-09</t>
  </si>
  <si>
    <t>ORD-0428</t>
  </si>
  <si>
    <t>ORD-0429</t>
  </si>
  <si>
    <t>2025-09-03</t>
  </si>
  <si>
    <t>ORD-0430</t>
  </si>
  <si>
    <t>ORD-0431</t>
  </si>
  <si>
    <t>2025-08-30</t>
  </si>
  <si>
    <t>ORD-0432</t>
  </si>
  <si>
    <t>ORD-0433</t>
  </si>
  <si>
    <t>Customer 092</t>
  </si>
  <si>
    <t>ORD-0434</t>
  </si>
  <si>
    <t>ORD-0435</t>
  </si>
  <si>
    <t>ORD-0436</t>
  </si>
  <si>
    <t>2025-06-19</t>
  </si>
  <si>
    <t>ORD-0437</t>
  </si>
  <si>
    <t>2025-01-12</t>
  </si>
  <si>
    <t>ORD-0438</t>
  </si>
  <si>
    <t>ORD-0439</t>
  </si>
  <si>
    <t>ORD-0440</t>
  </si>
  <si>
    <t>ORD-0441</t>
  </si>
  <si>
    <t>ORD-0442</t>
  </si>
  <si>
    <t>ORD-0443</t>
  </si>
  <si>
    <t>ORD-0444</t>
  </si>
  <si>
    <t>2025-01-06</t>
  </si>
  <si>
    <t>ORD-0445</t>
  </si>
  <si>
    <t>ORD-0446</t>
  </si>
  <si>
    <t>2025-07-13</t>
  </si>
  <si>
    <t>ORD-0447</t>
  </si>
  <si>
    <t>ORD-0448</t>
  </si>
  <si>
    <t>2025-06-25</t>
  </si>
  <si>
    <t>ORD-0449</t>
  </si>
  <si>
    <t>2025-11-01</t>
  </si>
  <si>
    <t>ORD-0450</t>
  </si>
  <si>
    <t>2025-01-28</t>
  </si>
  <si>
    <t>ORD-0451</t>
  </si>
  <si>
    <t>2025-06-02</t>
  </si>
  <si>
    <t>ORD-0452</t>
  </si>
  <si>
    <t>ORD-0453</t>
  </si>
  <si>
    <t>ORD-0454</t>
  </si>
  <si>
    <t>2025-06-07</t>
  </si>
  <si>
    <t>ORD-0455</t>
  </si>
  <si>
    <t>ORD-0456</t>
  </si>
  <si>
    <t>ORD-0457</t>
  </si>
  <si>
    <t>2025-10-05</t>
  </si>
  <si>
    <t>ORD-0458</t>
  </si>
  <si>
    <t>2025-12-18</t>
  </si>
  <si>
    <t>ORD-0459</t>
  </si>
  <si>
    <t>2025-01-18</t>
  </si>
  <si>
    <t>ORD-0460</t>
  </si>
  <si>
    <t>ORD-0461</t>
  </si>
  <si>
    <t>ORD-0462</t>
  </si>
  <si>
    <t>ORD-0463</t>
  </si>
  <si>
    <t>ORD-0464</t>
  </si>
  <si>
    <t>ORD-0465</t>
  </si>
  <si>
    <t>Customer 125</t>
  </si>
  <si>
    <t>ORD-0466</t>
  </si>
  <si>
    <t>ORD-0467</t>
  </si>
  <si>
    <t>ORD-0468</t>
  </si>
  <si>
    <t>2025-06-05</t>
  </si>
  <si>
    <t>ORD-0469</t>
  </si>
  <si>
    <t>ORD-0470</t>
  </si>
  <si>
    <t>ORD-0471</t>
  </si>
  <si>
    <t>ORD-0472</t>
  </si>
  <si>
    <t>ORD-0473</t>
  </si>
  <si>
    <t>ORD-0474</t>
  </si>
  <si>
    <t>ORD-0475</t>
  </si>
  <si>
    <t>ORD-0476</t>
  </si>
  <si>
    <t>ORD-0477</t>
  </si>
  <si>
    <t>ORD-0478</t>
  </si>
  <si>
    <t>2025-11-04</t>
  </si>
  <si>
    <t>ORD-0479</t>
  </si>
  <si>
    <t>2025-06-28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</si>
  <si>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</si>
  <si>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</si>
  <si>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</si>
  <si>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</si>
  <si>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</si>
  <si>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</si>
  <si>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</si>
  <si>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</si>
  <si>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</si>
  <si>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ORD-0489</t>
  </si>
  <si>
    <t>2025-11-21</t>
  </si>
  <si>
    <t>ORD-0490</t>
  </si>
  <si>
    <t>2025-03-03</t>
  </si>
  <si>
    <t>ORD-0491</t>
  </si>
  <si>
    <t>ORD-0492</t>
  </si>
  <si>
    <t>ORD-0493</t>
  </si>
  <si>
    <t>Customer 044</t>
  </si>
  <si>
    <t>ORD-0494</t>
  </si>
  <si>
    <t>ORD-0495</t>
  </si>
  <si>
    <t>2025-07-16</t>
  </si>
  <si>
    <t>ORD-0496</t>
  </si>
  <si>
    <t>ORD-0497</t>
  </si>
  <si>
    <t>ORD-0498</t>
  </si>
  <si>
    <t>ORD-0499</t>
  </si>
  <si>
    <t>ORD-0500</t>
  </si>
  <si>
    <t>Customer 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</si>
</sst>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₦-46A]* #,##0.00_-;\-[$₦-46A]* #,##0.00_-;_-[$₦-46A]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6" fillId="0" borderId="2" xfId="0" applyFont="1" applyBorder="1"/>
    <xf numFmtId="0" fontId="5" fillId="0" borderId="3" xfId="0" applyFont="1" applyBorder="1"/>
    <xf numFmtId="0" fontId="6" fillId="0" borderId="3" xfId="0" applyFont="1" applyBorder="1"/>
    <xf numFmtId="0" fontId="0" fillId="0" borderId="2" xfId="0" applyBorder="1"/>
    <xf numFmtId="164" fontId="6" fillId="0" borderId="2" xfId="0" applyNumberFormat="1" applyFont="1" applyBorder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[Retail_Sales_Analysis_Raw_Dataset.xlsx]Sheet3!PivotTable1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and Profit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29814250</c:v>
                </c:pt>
                <c:pt idx="1">
                  <c:v>19165800</c:v>
                </c:pt>
                <c:pt idx="2">
                  <c:v>21543850</c:v>
                </c:pt>
                <c:pt idx="3">
                  <c:v>20956600</c:v>
                </c:pt>
                <c:pt idx="4">
                  <c:v>21963050</c:v>
                </c:pt>
                <c:pt idx="5">
                  <c:v>23875300</c:v>
                </c:pt>
                <c:pt idx="6">
                  <c:v>16962200</c:v>
                </c:pt>
                <c:pt idx="7">
                  <c:v>24583200</c:v>
                </c:pt>
                <c:pt idx="8">
                  <c:v>18450400</c:v>
                </c:pt>
                <c:pt idx="9">
                  <c:v>23714050</c:v>
                </c:pt>
                <c:pt idx="10">
                  <c:v>19800950</c:v>
                </c:pt>
                <c:pt idx="11">
                  <c:v>18001650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61-4079-99AB-472F32C8E4A7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Sheet3!$C$4:$C$16</c:f>
              <c:numCache>
                <c:formatCode>General</c:formatCode>
                <c:ptCount val="12"/>
                <c:pt idx="0">
                  <c:v>6855061.0099999988</c:v>
                </c:pt>
                <c:pt idx="1">
                  <c:v>4459884.709999999</c:v>
                </c:pt>
                <c:pt idx="2">
                  <c:v>5750273.96</c:v>
                </c:pt>
                <c:pt idx="3">
                  <c:v>5369047.7799999993</c:v>
                </c:pt>
                <c:pt idx="4">
                  <c:v>5033045.6499999985</c:v>
                </c:pt>
                <c:pt idx="5">
                  <c:v>5844967.8099999996</c:v>
                </c:pt>
                <c:pt idx="6">
                  <c:v>3476815.04</c:v>
                </c:pt>
                <c:pt idx="7">
                  <c:v>5974029.4700000007</c:v>
                </c:pt>
                <c:pt idx="8">
                  <c:v>5933124.6899999995</c:v>
                </c:pt>
                <c:pt idx="9">
                  <c:v>7147823.2999999989</c:v>
                </c:pt>
                <c:pt idx="10">
                  <c:v>3844793.580000001</c:v>
                </c:pt>
                <c:pt idx="11">
                  <c:v>3915501.4499999988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61-4079-99AB-472F32C8E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8063752"/>
        <c:axId val="1548249096"/>
      </c:barChart>
      <c:catAx>
        <c:axId val="1548063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249096"/>
        <c:crosses val="autoZero"/>
        <c:auto val="1"/>
        <c:lblAlgn val="ctr"/>
        <c:lblOffset val="100"/>
        <c:noMultiLvlLbl val="0"/>
      </c:catAx>
      <c:valAx>
        <c:axId val="1548249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063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[Retail_Sales_Analysis_Raw_Dataset.xlsx]Sheet5!PivotTable1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Sheet5!$A$4:$A$9</c:f>
              <c:strCache>
                <c:ptCount val="5"/>
                <c:pt idx="0">
                  <c:v>Oyo</c:v>
                </c:pt>
                <c:pt idx="1">
                  <c:v>Abuja</c:v>
                </c:pt>
                <c:pt idx="2">
                  <c:v>Rivers</c:v>
                </c:pt>
                <c:pt idx="3">
                  <c:v>Kano</c:v>
                </c:pt>
                <c:pt idx="4">
                  <c:v>Lagos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14214598.670000006</c:v>
                </c:pt>
                <c:pt idx="1">
                  <c:v>13826197.389999995</c:v>
                </c:pt>
                <c:pt idx="2">
                  <c:v>12951718.030000003</c:v>
                </c:pt>
                <c:pt idx="3">
                  <c:v>11532937.709999997</c:v>
                </c:pt>
                <c:pt idx="4">
                  <c:v>11078916.649999999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02-4771-91D4-64F920E12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332552"/>
        <c:axId val="420334600"/>
      </c:barChart>
      <c:catAx>
        <c:axId val="420332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334600"/>
        <c:crosses val="autoZero"/>
        <c:auto val="1"/>
        <c:lblAlgn val="ctr"/>
        <c:lblOffset val="100"/>
        <c:noMultiLvlLbl val="0"/>
      </c:catAx>
      <c:valAx>
        <c:axId val="420334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332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[Retail_Sales_Analysis_Raw_Dataset.xlsx]Sheet3!PivotTable1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and Profit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29814250</c:v>
                </c:pt>
                <c:pt idx="1">
                  <c:v>19165800</c:v>
                </c:pt>
                <c:pt idx="2">
                  <c:v>21543850</c:v>
                </c:pt>
                <c:pt idx="3">
                  <c:v>20956600</c:v>
                </c:pt>
                <c:pt idx="4">
                  <c:v>21963050</c:v>
                </c:pt>
                <c:pt idx="5">
                  <c:v>23875300</c:v>
                </c:pt>
                <c:pt idx="6">
                  <c:v>16962200</c:v>
                </c:pt>
                <c:pt idx="7">
                  <c:v>24583200</c:v>
                </c:pt>
                <c:pt idx="8">
                  <c:v>18450400</c:v>
                </c:pt>
                <c:pt idx="9">
                  <c:v>23714050</c:v>
                </c:pt>
                <c:pt idx="10">
                  <c:v>19800950</c:v>
                </c:pt>
                <c:pt idx="11">
                  <c:v>18001650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8-46F9-B70C-9152D07A554B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Sheet3!$C$4:$C$16</c:f>
              <c:numCache>
                <c:formatCode>General</c:formatCode>
                <c:ptCount val="12"/>
                <c:pt idx="0">
                  <c:v>6855061.0099999988</c:v>
                </c:pt>
                <c:pt idx="1">
                  <c:v>4459884.709999999</c:v>
                </c:pt>
                <c:pt idx="2">
                  <c:v>5750273.96</c:v>
                </c:pt>
                <c:pt idx="3">
                  <c:v>5369047.7799999993</c:v>
                </c:pt>
                <c:pt idx="4">
                  <c:v>5033045.6499999985</c:v>
                </c:pt>
                <c:pt idx="5">
                  <c:v>5844967.8099999996</c:v>
                </c:pt>
                <c:pt idx="6">
                  <c:v>3476815.04</c:v>
                </c:pt>
                <c:pt idx="7">
                  <c:v>5974029.4700000007</c:v>
                </c:pt>
                <c:pt idx="8">
                  <c:v>5933124.6899999995</c:v>
                </c:pt>
                <c:pt idx="9">
                  <c:v>7147823.2999999989</c:v>
                </c:pt>
                <c:pt idx="10">
                  <c:v>3844793.580000001</c:v>
                </c:pt>
                <c:pt idx="11">
                  <c:v>3915501.4499999988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48-46F9-B70C-9152D07A5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8063752"/>
        <c:axId val="1548249096"/>
      </c:barChart>
      <c:catAx>
        <c:axId val="1548063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249096"/>
        <c:crosses val="autoZero"/>
        <c:auto val="1"/>
        <c:lblAlgn val="ctr"/>
        <c:lblOffset val="100"/>
        <c:noMultiLvlLbl val="0"/>
      </c:catAx>
      <c:valAx>
        <c:axId val="1548249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063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[Retail_Sales_Analysis_Raw_Dataset.xlsx]Sheet5!PivotTable1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Sheet5!$A$4:$A$9</c:f>
              <c:strCache>
                <c:ptCount val="5"/>
                <c:pt idx="0">
                  <c:v>Oyo</c:v>
                </c:pt>
                <c:pt idx="1">
                  <c:v>Abuja</c:v>
                </c:pt>
                <c:pt idx="2">
                  <c:v>Rivers</c:v>
                </c:pt>
                <c:pt idx="3">
                  <c:v>Kano</c:v>
                </c:pt>
                <c:pt idx="4">
                  <c:v>Lagos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14214598.670000006</c:v>
                </c:pt>
                <c:pt idx="1">
                  <c:v>13826197.389999995</c:v>
                </c:pt>
                <c:pt idx="2">
                  <c:v>12951718.030000003</c:v>
                </c:pt>
                <c:pt idx="3">
                  <c:v>11532937.709999997</c:v>
                </c:pt>
                <c:pt idx="4">
                  <c:v>11078916.649999999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3F-4C93-BC9B-0409DDC1F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3356552"/>
        <c:axId val="1093399560"/>
      </c:barChart>
      <c:catAx>
        <c:axId val="1093356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399560"/>
        <c:crosses val="autoZero"/>
        <c:auto val="1"/>
        <c:lblAlgn val="ctr"/>
        <c:lblOffset val="100"/>
        <c:noMultiLvlLbl val="0"/>
      </c:catAx>
      <c:valAx>
        <c:axId val="1093399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356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[Retail_Sales_Analysis_Raw_Dataset.xlsx]Sheet5!PivotTable1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Sheet5!$A$4:$A$9</c:f>
              <c:strCache>
                <c:ptCount val="5"/>
                <c:pt idx="0">
                  <c:v>Oyo</c:v>
                </c:pt>
                <c:pt idx="1">
                  <c:v>Abuja</c:v>
                </c:pt>
                <c:pt idx="2">
                  <c:v>Rivers</c:v>
                </c:pt>
                <c:pt idx="3">
                  <c:v>Kano</c:v>
                </c:pt>
                <c:pt idx="4">
                  <c:v>Lagos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14214598.670000006</c:v>
                </c:pt>
                <c:pt idx="1">
                  <c:v>13826197.389999995</c:v>
                </c:pt>
                <c:pt idx="2">
                  <c:v>12951718.030000003</c:v>
                </c:pt>
                <c:pt idx="3">
                  <c:v>11532937.709999997</c:v>
                </c:pt>
                <c:pt idx="4">
                  <c:v>11078916.649999999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44-40E7-B372-47A54BCA8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3356552"/>
        <c:axId val="1093399560"/>
      </c:barChart>
      <c:catAx>
        <c:axId val="1093356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399560"/>
        <c:crosses val="autoZero"/>
        <c:auto val="1"/>
        <c:lblAlgn val="ctr"/>
        <c:lblOffset val="100"/>
        <c:noMultiLvlLbl val="0"/>
      </c:catAx>
      <c:valAx>
        <c:axId val="1093399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356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2</xdr:row>
      <xdr:rowOff>9525</xdr:rowOff>
    </xdr:from>
    <xdr:to>
      <xdr:col>11</xdr:col>
      <xdr:colOff>171450</xdr:colOff>
      <xdr:row>16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6AF78B-CD9F-2C0C-E0E0-5A4264AEC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476250</xdr:colOff>
      <xdr:row>1</xdr:row>
      <xdr:rowOff>104775</xdr:rowOff>
    </xdr:from>
    <xdr:to>
      <xdr:col>16</xdr:col>
      <xdr:colOff>495300</xdr:colOff>
      <xdr:row>16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ategory">
              <a:extLst>
                <a:ext uri="{FF2B5EF4-FFF2-40B4-BE49-F238E27FC236}">
                  <a16:creationId xmlns:a16="http://schemas.microsoft.com/office/drawing/2014/main" id="{0E0B9F20-47A8-B4CD-A96B-9D26D80368A0}"/>
                </a:ext>
                <a:ext uri="{147F2762-F138-4A5C-976F-8EAC2B608ADB}">
                  <a16:predDERef xmlns:a16="http://schemas.microsoft.com/office/drawing/2014/main" pred="{266AF78B-CD9F-2C0C-E0E0-5A4264AECB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19475" y="4953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11</xdr:col>
      <xdr:colOff>523875</xdr:colOff>
      <xdr:row>1</xdr:row>
      <xdr:rowOff>19050</xdr:rowOff>
    </xdr:from>
    <xdr:to>
      <xdr:col>16</xdr:col>
      <xdr:colOff>257175</xdr:colOff>
      <xdr:row>17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Region">
              <a:extLst>
                <a:ext uri="{FF2B5EF4-FFF2-40B4-BE49-F238E27FC236}">
                  <a16:creationId xmlns:a16="http://schemas.microsoft.com/office/drawing/2014/main" id="{6E151E07-1FD3-71EA-BD80-168E714F6681}"/>
                </a:ext>
                <a:ext uri="{147F2762-F138-4A5C-976F-8EAC2B608ADB}">
                  <a16:predDERef xmlns:a16="http://schemas.microsoft.com/office/drawing/2014/main" pred="{0E0B9F20-47A8-B4CD-A96B-9D26D80368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29025" y="7048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1</xdr:row>
      <xdr:rowOff>114300</xdr:rowOff>
    </xdr:from>
    <xdr:to>
      <xdr:col>9</xdr:col>
      <xdr:colOff>371475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9A5F27-72B3-2CFF-4A5B-222A20768F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171450</xdr:rowOff>
    </xdr:from>
    <xdr:to>
      <xdr:col>1</xdr:col>
      <xdr:colOff>561975</xdr:colOff>
      <xdr:row>20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9B368F-62F5-41CB-8402-8F6A4126F5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104775</xdr:rowOff>
    </xdr:from>
    <xdr:to>
      <xdr:col>2</xdr:col>
      <xdr:colOff>19050</xdr:colOff>
      <xdr:row>34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50F4C5-03F0-4D85-9035-8591FD81DF5B}"/>
            </a:ext>
            <a:ext uri="{147F2762-F138-4A5C-976F-8EAC2B608ADB}">
              <a16:predDERef xmlns:a16="http://schemas.microsoft.com/office/drawing/2014/main" pred="{199B368F-62F5-41CB-8402-8F6A4126F5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1</xdr:row>
      <xdr:rowOff>180975</xdr:rowOff>
    </xdr:from>
    <xdr:to>
      <xdr:col>10</xdr:col>
      <xdr:colOff>57150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08772C-B62B-3778-3CA1-78798E7B98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0.594118634261" createdVersion="8" refreshedVersion="8" minRefreshableVersion="3" recordCount="500" xr:uid="{CB9A2A98-507C-4A03-B488-5587BEFDFC7D}">
  <cacheSource type="worksheet">
    <worksheetSource ref="A1:M501" sheet="Sheet1"/>
  </cacheSource>
  <cacheFields count="13">
    <cacheField name="Order ID" numFmtId="0">
      <sharedItems/>
    </cacheField>
    <cacheField name="Order Date" numFmtId="0">
      <sharedItems count="277">
        <s v="2025-01-13"/>
        <s v="2025-08-05"/>
        <s v="2025-04-12"/>
        <s v="2025-06-24"/>
        <s v="2025-02-19"/>
        <s v="2025-02-10"/>
        <s v="2025-01-24"/>
        <s v="2025-08-21"/>
        <s v="2025-11-22"/>
        <s v="2025-11-24"/>
        <s v="2025-07-25"/>
        <s v="2025-07-22"/>
        <s v="2025-08-08"/>
        <s v="2025-01-25"/>
        <s v="2025-07-15"/>
        <s v="2025-05-17"/>
        <s v="2025-09-14"/>
        <s v="2025-07-11"/>
        <s v="2025-01-10"/>
        <s v="2025-10-18"/>
        <s v="2025-12-04"/>
        <s v="2025-10-04"/>
        <s v="2025-05-07"/>
        <s v="2025-02-06"/>
        <s v="2025-05-02"/>
        <s v="2025-08-31"/>
        <s v="2025-08-28"/>
        <s v="2025-02-25"/>
        <s v="2025-05-23"/>
        <s v="2025-11-30"/>
        <s v="2025-09-04"/>
        <s v="2025-05-16"/>
        <s v="2025-06-01"/>
        <s v="2025-01-26"/>
        <s v="2025-02-11"/>
        <s v="2025-04-15"/>
        <s v="2025-02-07"/>
        <s v="2025-04-20"/>
        <s v="2025-05-26"/>
        <s v="2025-06-03"/>
        <s v="2025-05-25"/>
        <s v="2025-01-27"/>
        <s v="2025-03-08"/>
        <s v="2025-02-08"/>
        <s v="2025-03-07"/>
        <s v="2025-12-08"/>
        <s v="2025-03-25"/>
        <s v="2025-03-23"/>
        <s v="2025-06-29"/>
        <s v="2025-02-05"/>
        <s v="2025-03-01"/>
        <s v="2025-08-11"/>
        <s v="2025-10-23"/>
        <s v="2025-08-09"/>
        <s v="2025-06-08"/>
        <s v="2025-08-04"/>
        <s v="2025-10-08"/>
        <s v="2025-08-15"/>
        <s v="2025-09-21"/>
        <s v="2025-03-17"/>
        <s v="2025-08-01"/>
        <s v="2025-10-13"/>
        <s v="2025-11-10"/>
        <s v="2025-08-19"/>
        <s v="2025-05-21"/>
        <s v="2025-07-19"/>
        <s v="2025-06-30"/>
        <s v="2025-04-23"/>
        <s v="2025-11-26"/>
        <s v="2025-06-17"/>
        <s v="2025-03-06"/>
        <s v="2025-03-27"/>
        <s v="2025-10-24"/>
        <s v="2025-10-31"/>
        <s v="2025-01-22"/>
        <s v="2025-04-01"/>
        <s v="2025-08-26"/>
        <s v="2025-04-04"/>
        <s v="2025-12-26"/>
        <s v="2025-09-08"/>
        <s v="2025-05-31"/>
        <s v="2025-10-11"/>
        <s v="2025-05-19"/>
        <s v="2025-12-20"/>
        <s v="2025-04-10"/>
        <s v="2025-10-21"/>
        <s v="2025-09-02"/>
        <s v="2025-03-18"/>
        <s v="2025-11-02"/>
        <s v="2025-10-29"/>
        <s v="2025-11-17"/>
        <s v="2025-05-28"/>
        <s v="2025-12-05"/>
        <s v="2025-02-16"/>
        <s v="2025-08-12"/>
        <s v="2025-03-24"/>
        <s v="2025-02-15"/>
        <s v="2025-08-25"/>
        <s v="2025-01-15"/>
        <s v="2025-07-28"/>
        <s v="2025-09-13"/>
        <s v="2025-08-22"/>
        <s v="2025-10-06"/>
        <s v="2025-07-30"/>
        <s v="2025-01-19"/>
        <s v="2025-09-27"/>
        <s v="2025-03-16"/>
        <s v="2025-11-09"/>
        <s v="2025-03-22"/>
        <s v="2025-06-04"/>
        <s v="2025-07-03"/>
        <s v="2025-01-05"/>
        <s v="2025-04-28"/>
        <s v="2025-11-18"/>
        <s v="2025-07-06"/>
        <s v="2025-03-09"/>
        <s v="2025-07-08"/>
        <s v="2025-11-29"/>
        <s v="2025-03-21"/>
        <s v="2025-01-17"/>
        <s v="2025-12-06"/>
        <s v="2025-06-18"/>
        <s v="2025-02-26"/>
        <s v="2025-03-31"/>
        <s v="2025-09-01"/>
        <s v="2025-01-23"/>
        <s v="2025-08-07"/>
        <s v="2025-11-08"/>
        <s v="2025-04-21"/>
        <s v="2025-02-04"/>
        <s v="2025-01-31"/>
        <s v="2025-12-03"/>
        <s v="2025-04-03"/>
        <s v="2025-09-29"/>
        <s v="2025-06-16"/>
        <s v="2025-05-20"/>
        <s v="2025-09-07"/>
        <s v="2025-01-04"/>
        <s v="2025-10-14"/>
        <s v="2025-02-09"/>
        <s v="2025-07-27"/>
        <s v="2025-02-24"/>
        <s v="2025-06-23"/>
        <s v="2025-09-19"/>
        <s v="2025-05-12"/>
        <s v="2025-10-16"/>
        <s v="2025-03-19"/>
        <s v="2025-09-17"/>
        <s v="2025-10-20"/>
        <s v="2025-02-22"/>
        <s v="2025-08-13"/>
        <s v="2025-07-29"/>
        <s v="2025-09-18"/>
        <s v="2025-04-09"/>
        <s v="2025-11-13"/>
        <s v="2025-04-30"/>
        <s v="2025-08-14"/>
        <s v="2025-04-13"/>
        <s v="2025-04-25"/>
        <s v="2025-05-27"/>
        <s v="2025-05-30"/>
        <s v="2025-12-07"/>
        <s v="2025-08-29"/>
        <s v="2025-03-11"/>
        <s v="2025-12-02"/>
        <s v="2025-07-17"/>
        <s v="2025-08-06"/>
        <s v="2025-03-15"/>
        <s v="2025-11-27"/>
        <s v="2025-07-09"/>
        <s v="2025-06-10"/>
        <s v="2025-07-18"/>
        <s v="2025-02-14"/>
        <s v="2025-09-10"/>
        <s v="2025-10-22"/>
        <s v="2025-06-26"/>
        <s v="2025-01-29"/>
        <s v="2025-06-27"/>
        <s v="2025-05-06"/>
        <s v="2025-09-05"/>
        <s v="2025-07-24"/>
        <s v="2025-03-04"/>
        <s v="2025-11-12"/>
        <s v="2025-07-21"/>
        <s v="2025-09-16"/>
        <s v="2025-01-21"/>
        <s v="2025-11-07"/>
        <s v="2025-10-26"/>
        <s v="2025-04-17"/>
        <s v="2025-03-30"/>
        <s v="2025-06-12"/>
        <s v="2025-12-13"/>
        <s v="2025-04-14"/>
        <s v="2025-10-28"/>
        <s v="2025-02-21"/>
        <s v="2025-06-14"/>
        <s v="2025-01-20"/>
        <s v="2025-04-06"/>
        <s v="2025-06-22"/>
        <s v="2025-06-15"/>
        <s v="2025-12-15"/>
        <s v="2025-02-27"/>
        <s v="2025-01-30"/>
        <s v="2025-01-02"/>
        <s v="2025-03-10"/>
        <s v="2025-11-11"/>
        <s v="2025-11-03"/>
        <s v="2025-04-22"/>
        <s v="2025-07-12"/>
        <s v="2025-05-05"/>
        <s v="2025-10-02"/>
        <s v="2025-12-10"/>
        <s v="2025-04-08"/>
        <s v="2025-05-03"/>
        <s v="2025-05-14"/>
        <s v="2025-12-09"/>
        <s v="2025-09-30"/>
        <s v="2025-09-15"/>
        <s v="2025-02-17"/>
        <s v="2025-02-12"/>
        <s v="2025-03-13"/>
        <s v="2025-04-29"/>
        <s v="2025-05-18"/>
        <s v="2025-01-14"/>
        <s v="2025-07-31"/>
        <s v="2025-03-28"/>
        <s v="2025-07-23"/>
        <s v="2025-08-18"/>
        <s v="2025-05-08"/>
        <s v="2025-06-09"/>
        <s v="2025-12-30"/>
        <s v="2025-11-19"/>
        <s v="2025-12-27"/>
        <s v="2025-04-11"/>
        <s v="2025-06-06"/>
        <s v="2025-12-17"/>
        <s v="2025-10-17"/>
        <s v="2025-08-23"/>
        <s v="2025-02-28"/>
        <s v="2025-10-07"/>
        <s v="2025-05-15"/>
        <s v="2025-12-19"/>
        <s v="2025-04-16"/>
        <s v="2025-10-01"/>
        <s v="2025-01-01"/>
        <s v="2025-03-05"/>
        <s v="2025-05-22"/>
        <s v="2025-09-23"/>
        <s v="2025-09-11"/>
        <s v="2025-12-16"/>
        <s v="2025-01-07"/>
        <s v="2025-07-10"/>
        <s v="2025-05-11"/>
        <s v="2025-09-09"/>
        <s v="2025-08-20"/>
        <s v="2025-07-02"/>
        <s v="2025-10-09"/>
        <s v="2025-09-03"/>
        <s v="2025-08-30"/>
        <s v="2025-06-19"/>
        <s v="2025-01-12"/>
        <s v="2025-01-06"/>
        <s v="2025-07-13"/>
        <s v="2025-06-25"/>
        <s v="2025-11-01"/>
        <s v="2025-01-28"/>
        <s v="2025-06-02"/>
        <s v="2025-06-07"/>
        <s v="2025-10-05"/>
        <s v="2025-12-18"/>
        <s v="2025-01-18"/>
        <s v="2025-06-05"/>
        <s v="2025-11-04"/>
        <s v="2025-06-28"/>
        <s v="2025-11-21"/>
        <s v="2025-03-03"/>
        <s v="2025-07-16"/>
      </sharedItems>
    </cacheField>
    <cacheField name="Customer" numFmtId="0">
      <sharedItems containsBlank="1"/>
    </cacheField>
    <cacheField name="Product" numFmtId="0">
      <sharedItems count="11">
        <s v="Smartphone X"/>
        <s v="USB-C Hub"/>
        <s v="Standing Desk"/>
        <s v="Printer"/>
        <s v="Desk Lamp"/>
        <s v="Notebook Pack"/>
        <s v="Backpack"/>
        <s v="Wireless Headphones"/>
        <s v="Office Chair"/>
        <s v="Laptop Pro 14"/>
        <s v="Wireless Headphones "/>
      </sharedItems>
    </cacheField>
    <cacheField name="Category" numFmtId="0">
      <sharedItems count="3">
        <s v="Technology"/>
        <s v="Furniture"/>
        <s v="Office Supplies"/>
      </sharedItems>
    </cacheField>
    <cacheField name="Region" numFmtId="0">
      <sharedItems count="5">
        <s v="Oyo"/>
        <s v="Lagos"/>
        <s v="Rivers"/>
        <s v="Kano"/>
        <s v="Abuja"/>
      </sharedItems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containsInteger="1" minValue="12000" maxValue="650000"/>
    </cacheField>
    <cacheField name="Discount" numFmtId="0">
      <sharedItems containsSemiMixedTypes="0" containsString="0" containsNumber="1" minValue="0" maxValue="0.2"/>
    </cacheField>
    <cacheField name="Sales" numFmtId="0">
      <sharedItems containsSemiMixedTypes="0" containsString="0" containsNumber="1" containsInteger="1" minValue="9600" maxValue="3250000"/>
    </cacheField>
    <cacheField name="Profit" numFmtId="0">
      <sharedItems containsSemiMixedTypes="0" containsString="0" containsNumber="1" minValue="-2386.13" maxValue="1127100.78"/>
    </cacheField>
    <cacheField name="Payment Method" numFmtId="0">
      <sharedItems/>
    </cacheField>
    <cacheField name="month" numFmtId="0">
      <sharedItems count="12">
        <s v="Jan"/>
        <s v="Aug"/>
        <s v="Apr"/>
        <s v="Jun"/>
        <s v="Feb"/>
        <s v="Nov"/>
        <s v="Jul"/>
        <s v="May"/>
        <s v="Sep"/>
        <s v="Oct"/>
        <s v="Dec"/>
        <s v="Mar"/>
      </sharedItems>
    </cacheField>
  </cacheFields>
  <extLst>
    <ext xmlns:x14="http://schemas.microsoft.com/office/spreadsheetml/2009/9/main" uri="{725AE2AE-9491-48be-B2B4-4EB974FC3084}">
      <x14:pivotCacheDefinition pivotCacheId="36472254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0.594118981484" createdVersion="8" refreshedVersion="8" minRefreshableVersion="3" recordCount="500" xr:uid="{C95992C4-1E53-475B-B446-F6797486B47B}">
  <cacheSource type="worksheet">
    <worksheetSource ref="A1:L501" sheet="Sheet1"/>
  </cacheSource>
  <cacheFields count="12">
    <cacheField name="Order ID" numFmtId="0">
      <sharedItems/>
    </cacheField>
    <cacheField name="Order Date" numFmtId="0">
      <sharedItems/>
    </cacheField>
    <cacheField name="Customer" numFmtId="0">
      <sharedItems containsBlank="1"/>
    </cacheField>
    <cacheField name="Product" numFmtId="0">
      <sharedItems/>
    </cacheField>
    <cacheField name="Category" numFmtId="0">
      <sharedItems/>
    </cacheField>
    <cacheField name="Region" numFmtId="0">
      <sharedItems count="5">
        <s v="Oyo"/>
        <s v="Lagos"/>
        <s v="Rivers"/>
        <s v="Kano"/>
        <s v="Abuja"/>
      </sharedItems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containsInteger="1" minValue="12000" maxValue="650000"/>
    </cacheField>
    <cacheField name="Discount" numFmtId="0">
      <sharedItems containsSemiMixedTypes="0" containsString="0" containsNumber="1" minValue="0" maxValue="0.2"/>
    </cacheField>
    <cacheField name="Sales" numFmtId="0">
      <sharedItems containsSemiMixedTypes="0" containsString="0" containsNumber="1" containsInteger="1" minValue="9600" maxValue="3250000"/>
    </cacheField>
    <cacheField name="Profit" numFmtId="0">
      <sharedItems containsSemiMixedTypes="0" containsString="0" containsNumber="1" minValue="-2386.13" maxValue="1127100.78"/>
    </cacheField>
    <cacheField name="Payment Metho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-0001"/>
    <x v="0"/>
    <s v="Customer 027"/>
    <x v="0"/>
    <x v="0"/>
    <x v="0"/>
    <n v="3"/>
    <n v="420000"/>
    <n v="0"/>
    <n v="1260000"/>
    <n v="491063.71"/>
    <s v="Card"/>
    <x v="0"/>
  </r>
  <r>
    <s v="ORD-0002"/>
    <x v="1"/>
    <s v="Customer 060"/>
    <x v="1"/>
    <x v="0"/>
    <x v="0"/>
    <n v="1"/>
    <n v="55000"/>
    <n v="0"/>
    <n v="55000"/>
    <n v="23358.63"/>
    <s v="Card"/>
    <x v="1"/>
  </r>
  <r>
    <s v="ORD-0003"/>
    <x v="2"/>
    <s v="Customer 072"/>
    <x v="2"/>
    <x v="1"/>
    <x v="1"/>
    <n v="5"/>
    <n v="210000"/>
    <n v="0.1"/>
    <n v="945000"/>
    <n v="305005.08"/>
    <s v="Bank Transfer"/>
    <x v="2"/>
  </r>
  <r>
    <s v="ORD-0004"/>
    <x v="3"/>
    <s v="Customer 087"/>
    <x v="3"/>
    <x v="0"/>
    <x v="1"/>
    <n v="3"/>
    <n v="180000"/>
    <n v="0"/>
    <n v="540000"/>
    <n v="211607.25"/>
    <s v="Card"/>
    <x v="3"/>
  </r>
  <r>
    <s v="ORD-0005"/>
    <x v="4"/>
    <s v="Customer 012"/>
    <x v="3"/>
    <x v="0"/>
    <x v="2"/>
    <n v="3"/>
    <n v="180000"/>
    <n v="0.05"/>
    <n v="513000"/>
    <n v="127976.74"/>
    <s v="Card"/>
    <x v="4"/>
  </r>
  <r>
    <s v="ORD-0006"/>
    <x v="5"/>
    <s v="Customer 093"/>
    <x v="3"/>
    <x v="0"/>
    <x v="0"/>
    <n v="5"/>
    <n v="180000"/>
    <n v="0.05"/>
    <n v="855000"/>
    <n v="158454.67000000001"/>
    <s v="Bank Transfer"/>
    <x v="4"/>
  </r>
  <r>
    <s v="ORD-0007"/>
    <x v="6"/>
    <s v="Customer 060"/>
    <x v="0"/>
    <x v="0"/>
    <x v="1"/>
    <n v="2"/>
    <n v="420000"/>
    <n v="0.05"/>
    <n v="798000"/>
    <n v="112551.76"/>
    <s v="Mobile Money"/>
    <x v="0"/>
  </r>
  <r>
    <s v="ORD-0008"/>
    <x v="7"/>
    <s v="Customer 054"/>
    <x v="4"/>
    <x v="1"/>
    <x v="3"/>
    <n v="3"/>
    <n v="35000"/>
    <n v="0"/>
    <n v="105000"/>
    <n v="36755.370000000003"/>
    <s v="Card"/>
    <x v="1"/>
  </r>
  <r>
    <s v="ORD-0009"/>
    <x v="8"/>
    <s v="Customer 042"/>
    <x v="1"/>
    <x v="0"/>
    <x v="2"/>
    <n v="2"/>
    <n v="55000"/>
    <n v="0.15"/>
    <n v="93500"/>
    <n v="11344.93"/>
    <s v="Mobile Money"/>
    <x v="5"/>
  </r>
  <r>
    <s v="ORD-0010"/>
    <x v="9"/>
    <s v="Customer 015"/>
    <x v="4"/>
    <x v="1"/>
    <x v="4"/>
    <n v="5"/>
    <n v="35000"/>
    <n v="0"/>
    <n v="175000"/>
    <n v="46401.98"/>
    <s v="Card"/>
    <x v="5"/>
  </r>
  <r>
    <s v="ORD-0011"/>
    <x v="10"/>
    <s v="Customer 146"/>
    <x v="5"/>
    <x v="2"/>
    <x v="3"/>
    <n v="3"/>
    <n v="12000"/>
    <n v="0"/>
    <n v="36000"/>
    <n v="14149.25"/>
    <s v="Bank Transfer"/>
    <x v="6"/>
  </r>
  <r>
    <s v="ORD-0012"/>
    <x v="11"/>
    <s v="Customer 064"/>
    <x v="6"/>
    <x v="2"/>
    <x v="0"/>
    <n v="4"/>
    <n v="45000"/>
    <n v="0"/>
    <n v="180000"/>
    <n v="68126.820000000007"/>
    <s v="Cash"/>
    <x v="6"/>
  </r>
  <r>
    <s v="ORD-0013"/>
    <x v="12"/>
    <s v="Customer 036"/>
    <x v="1"/>
    <x v="0"/>
    <x v="0"/>
    <n v="5"/>
    <n v="55000"/>
    <n v="0.1"/>
    <n v="247500"/>
    <n v="69371.759999999995"/>
    <s v="Mobile Money"/>
    <x v="1"/>
  </r>
  <r>
    <s v="ORD-0014"/>
    <x v="13"/>
    <s v="Customer 109"/>
    <x v="0"/>
    <x v="0"/>
    <x v="0"/>
    <n v="1"/>
    <n v="420000"/>
    <n v="0"/>
    <n v="420000"/>
    <n v="117847.62"/>
    <s v="Card"/>
    <x v="0"/>
  </r>
  <r>
    <s v="ORD-0015"/>
    <x v="14"/>
    <s v="Customer 142"/>
    <x v="3"/>
    <x v="0"/>
    <x v="1"/>
    <n v="5"/>
    <n v="180000"/>
    <n v="0.1"/>
    <n v="810000"/>
    <n v="186425.21"/>
    <s v="Card"/>
    <x v="6"/>
  </r>
  <r>
    <s v="ORD-0016"/>
    <x v="15"/>
    <s v="Customer 041"/>
    <x v="2"/>
    <x v="1"/>
    <x v="2"/>
    <n v="3"/>
    <n v="210000"/>
    <n v="0"/>
    <n v="630000"/>
    <n v="233575.63"/>
    <s v="Card"/>
    <x v="7"/>
  </r>
  <r>
    <s v="ORD-0017"/>
    <x v="16"/>
    <s v="Customer 077"/>
    <x v="4"/>
    <x v="1"/>
    <x v="0"/>
    <n v="2"/>
    <n v="35000"/>
    <n v="0.15"/>
    <n v="59500"/>
    <n v="3751.33"/>
    <s v="Bank Transfer"/>
    <x v="8"/>
  </r>
  <r>
    <s v="ORD-0018"/>
    <x v="17"/>
    <s v="Customer 136"/>
    <x v="7"/>
    <x v="0"/>
    <x v="1"/>
    <n v="2"/>
    <n v="85000"/>
    <n v="0.15"/>
    <n v="144500"/>
    <n v="7234.36"/>
    <s v="Cash"/>
    <x v="6"/>
  </r>
  <r>
    <s v="ORD-0019"/>
    <x v="18"/>
    <s v="Customer 079"/>
    <x v="6"/>
    <x v="2"/>
    <x v="4"/>
    <n v="1"/>
    <n v="45000"/>
    <n v="0.05"/>
    <n v="42750"/>
    <n v="7323.53"/>
    <s v="Card"/>
    <x v="0"/>
  </r>
  <r>
    <s v="ORD-0020"/>
    <x v="19"/>
    <s v="Customer 018"/>
    <x v="8"/>
    <x v="1"/>
    <x v="0"/>
    <n v="1"/>
    <n v="120000"/>
    <n v="0"/>
    <n v="120000"/>
    <n v="30286.19"/>
    <s v="Bank Transfer"/>
    <x v="9"/>
  </r>
  <r>
    <s v="ORD-0021"/>
    <x v="20"/>
    <s v="Customer 136"/>
    <x v="7"/>
    <x v="0"/>
    <x v="0"/>
    <n v="4"/>
    <n v="85000"/>
    <n v="0.15"/>
    <n v="289000"/>
    <n v="86841.35"/>
    <s v="Mobile Money"/>
    <x v="10"/>
  </r>
  <r>
    <s v="ORD-0022"/>
    <x v="21"/>
    <s v="Customer 096"/>
    <x v="8"/>
    <x v="1"/>
    <x v="2"/>
    <n v="2"/>
    <n v="120000"/>
    <n v="0.2"/>
    <n v="192000"/>
    <n v="39800.78"/>
    <s v="Mobile Money"/>
    <x v="9"/>
  </r>
  <r>
    <s v="ORD-0023"/>
    <x v="22"/>
    <s v="Customer 142"/>
    <x v="0"/>
    <x v="0"/>
    <x v="4"/>
    <n v="2"/>
    <n v="420000"/>
    <n v="0"/>
    <n v="840000"/>
    <n v="301322.19"/>
    <s v="Bank Transfer"/>
    <x v="7"/>
  </r>
  <r>
    <s v="ORD-0024"/>
    <x v="23"/>
    <s v="Customer 009"/>
    <x v="9"/>
    <x v="0"/>
    <x v="3"/>
    <n v="1"/>
    <n v="650000"/>
    <n v="0"/>
    <n v="650000"/>
    <n v="280671.24"/>
    <s v="Card"/>
    <x v="4"/>
  </r>
  <r>
    <s v="ORD-0025"/>
    <x v="24"/>
    <s v="Customer 139"/>
    <x v="2"/>
    <x v="1"/>
    <x v="4"/>
    <n v="3"/>
    <n v="210000"/>
    <n v="0.2"/>
    <n v="504000"/>
    <n v="74930.990000000005"/>
    <s v="Mobile Money"/>
    <x v="7"/>
  </r>
  <r>
    <s v="ORD-0026"/>
    <x v="25"/>
    <s v="Customer 111"/>
    <x v="8"/>
    <x v="1"/>
    <x v="3"/>
    <n v="4"/>
    <n v="120000"/>
    <n v="0"/>
    <n v="480000"/>
    <n v="203775.38"/>
    <s v="Mobile Money"/>
    <x v="1"/>
  </r>
  <r>
    <s v="ORD-0027"/>
    <x v="26"/>
    <s v="Customer 026"/>
    <x v="3"/>
    <x v="0"/>
    <x v="1"/>
    <n v="1"/>
    <n v="180000"/>
    <n v="0.2"/>
    <n v="144000"/>
    <n v="13242.06"/>
    <s v="Mobile Money"/>
    <x v="1"/>
  </r>
  <r>
    <s v="ORD-0028"/>
    <x v="27"/>
    <s v="Customer 115"/>
    <x v="5"/>
    <x v="2"/>
    <x v="4"/>
    <n v="2"/>
    <n v="12000"/>
    <n v="0"/>
    <n v="24000"/>
    <n v="9567.4500000000007"/>
    <s v="Mobile Money"/>
    <x v="4"/>
  </r>
  <r>
    <s v="ORD-0029"/>
    <x v="28"/>
    <s v="Customer 020"/>
    <x v="7"/>
    <x v="0"/>
    <x v="2"/>
    <n v="4"/>
    <n v="85000"/>
    <n v="0"/>
    <n v="340000"/>
    <n v="72722.19"/>
    <s v="Card"/>
    <x v="7"/>
  </r>
  <r>
    <s v="ORD-0030"/>
    <x v="29"/>
    <s v="Customer 061"/>
    <x v="9"/>
    <x v="0"/>
    <x v="4"/>
    <n v="5"/>
    <n v="650000"/>
    <n v="0"/>
    <n v="3250000"/>
    <n v="612205.78"/>
    <s v="Mobile Money"/>
    <x v="5"/>
  </r>
  <r>
    <s v="ORD-0031"/>
    <x v="30"/>
    <s v="Customer 043"/>
    <x v="6"/>
    <x v="2"/>
    <x v="2"/>
    <n v="2"/>
    <n v="45000"/>
    <n v="0.1"/>
    <n v="81000"/>
    <n v="9570.64"/>
    <s v="Card"/>
    <x v="8"/>
  </r>
  <r>
    <s v="ORD-0032"/>
    <x v="31"/>
    <s v="Customer 143"/>
    <x v="3"/>
    <x v="0"/>
    <x v="2"/>
    <n v="4"/>
    <n v="180000"/>
    <n v="0.05"/>
    <n v="684000"/>
    <n v="205767.34"/>
    <s v="Bank Transfer"/>
    <x v="7"/>
  </r>
  <r>
    <s v="ORD-0033"/>
    <x v="32"/>
    <s v="Customer 139"/>
    <x v="8"/>
    <x v="1"/>
    <x v="1"/>
    <n v="2"/>
    <n v="120000"/>
    <n v="0"/>
    <n v="240000"/>
    <n v="70469.119999999995"/>
    <s v="Cash"/>
    <x v="3"/>
  </r>
  <r>
    <s v="ORD-0034"/>
    <x v="33"/>
    <s v="Customer 136"/>
    <x v="9"/>
    <x v="0"/>
    <x v="4"/>
    <n v="5"/>
    <n v="650000"/>
    <n v="0.1"/>
    <n v="2925000"/>
    <n v="696248.79"/>
    <s v="Card"/>
    <x v="0"/>
  </r>
  <r>
    <s v="ORD-0035"/>
    <x v="34"/>
    <s v="Customer 061"/>
    <x v="2"/>
    <x v="1"/>
    <x v="2"/>
    <n v="2"/>
    <n v="210000"/>
    <n v="0"/>
    <n v="420000"/>
    <n v="121523.02"/>
    <s v="Card"/>
    <x v="4"/>
  </r>
  <r>
    <s v="ORD-0036"/>
    <x v="22"/>
    <s v="Customer 021"/>
    <x v="1"/>
    <x v="0"/>
    <x v="2"/>
    <n v="5"/>
    <n v="55000"/>
    <n v="0.15"/>
    <n v="233750"/>
    <n v="79549.179999999993"/>
    <s v="Cash"/>
    <x v="7"/>
  </r>
  <r>
    <s v="ORD-0037"/>
    <x v="35"/>
    <s v="Customer 034"/>
    <x v="4"/>
    <x v="1"/>
    <x v="3"/>
    <n v="3"/>
    <n v="35000"/>
    <n v="0"/>
    <n v="105000"/>
    <n v="39719.83"/>
    <s v="Mobile Money"/>
    <x v="2"/>
  </r>
  <r>
    <s v="ORD-0038"/>
    <x v="36"/>
    <s v="Customer 145"/>
    <x v="5"/>
    <x v="2"/>
    <x v="1"/>
    <n v="1"/>
    <n v="12000"/>
    <n v="0.1"/>
    <n v="10800"/>
    <n v="2187.44"/>
    <s v="Card"/>
    <x v="4"/>
  </r>
  <r>
    <s v="ORD-0039"/>
    <x v="37"/>
    <s v="Customer 090"/>
    <x v="2"/>
    <x v="1"/>
    <x v="1"/>
    <n v="5"/>
    <n v="210000"/>
    <n v="0.05"/>
    <n v="997500"/>
    <n v="382448.56"/>
    <s v="Bank Transfer"/>
    <x v="2"/>
  </r>
  <r>
    <s v="ORD-0040"/>
    <x v="38"/>
    <s v="Customer 078"/>
    <x v="5"/>
    <x v="2"/>
    <x v="0"/>
    <n v="2"/>
    <n v="12000"/>
    <n v="0.1"/>
    <n v="21600"/>
    <n v="2997.33"/>
    <s v="Card"/>
    <x v="7"/>
  </r>
  <r>
    <s v="ORD-0041"/>
    <x v="39"/>
    <s v="Customer 028"/>
    <x v="2"/>
    <x v="1"/>
    <x v="0"/>
    <n v="1"/>
    <n v="210000"/>
    <n v="0"/>
    <n v="210000"/>
    <n v="79504.78"/>
    <s v="Bank Transfer"/>
    <x v="3"/>
  </r>
  <r>
    <s v="ORD-0042"/>
    <x v="40"/>
    <s v="Customer 053"/>
    <x v="4"/>
    <x v="1"/>
    <x v="3"/>
    <n v="5"/>
    <n v="35000"/>
    <n v="0"/>
    <n v="175000"/>
    <n v="44842.82"/>
    <s v="Mobile Money"/>
    <x v="7"/>
  </r>
  <r>
    <s v="ORD-0043"/>
    <x v="41"/>
    <s v="Customer 071"/>
    <x v="4"/>
    <x v="1"/>
    <x v="1"/>
    <n v="1"/>
    <n v="35000"/>
    <n v="0.2"/>
    <n v="28000"/>
    <n v="4747.21"/>
    <s v="Card"/>
    <x v="0"/>
  </r>
  <r>
    <s v="ORD-0044"/>
    <x v="42"/>
    <s v="Customer 142"/>
    <x v="5"/>
    <x v="2"/>
    <x v="2"/>
    <n v="3"/>
    <n v="12000"/>
    <n v="0"/>
    <n v="36000"/>
    <n v="8995.24"/>
    <s v="Card"/>
    <x v="11"/>
  </r>
  <r>
    <s v="ORD-0045"/>
    <x v="43"/>
    <s v="Customer 095"/>
    <x v="0"/>
    <x v="0"/>
    <x v="0"/>
    <n v="2"/>
    <n v="420000"/>
    <n v="0.15"/>
    <n v="714000"/>
    <n v="243828.82"/>
    <s v="Bank Transfer"/>
    <x v="4"/>
  </r>
  <r>
    <s v="ORD-0046"/>
    <x v="44"/>
    <s v="Customer 011"/>
    <x v="3"/>
    <x v="0"/>
    <x v="3"/>
    <n v="1"/>
    <n v="180000"/>
    <n v="0.05"/>
    <n v="171000"/>
    <n v="54277.94"/>
    <s v="Bank Transfer"/>
    <x v="11"/>
  </r>
  <r>
    <s v="ORD-0047"/>
    <x v="45"/>
    <s v="Customer 105"/>
    <x v="8"/>
    <x v="1"/>
    <x v="0"/>
    <n v="1"/>
    <n v="120000"/>
    <n v="0.05"/>
    <n v="114000"/>
    <n v="22724.23"/>
    <s v="Bank Transfer"/>
    <x v="10"/>
  </r>
  <r>
    <s v="ORD-0048"/>
    <x v="46"/>
    <s v="Customer 086"/>
    <x v="8"/>
    <x v="1"/>
    <x v="2"/>
    <n v="2"/>
    <n v="120000"/>
    <n v="0.1"/>
    <n v="216000"/>
    <n v="82393.84"/>
    <s v="Bank Transfer"/>
    <x v="11"/>
  </r>
  <r>
    <s v="ORD-0049"/>
    <x v="47"/>
    <s v="Customer 121"/>
    <x v="4"/>
    <x v="1"/>
    <x v="4"/>
    <n v="1"/>
    <n v="35000"/>
    <n v="0.1"/>
    <n v="31500"/>
    <n v="4008.02"/>
    <s v="Bank Transfer"/>
    <x v="11"/>
  </r>
  <r>
    <s v="ORD-0050"/>
    <x v="48"/>
    <s v="Customer 050"/>
    <x v="6"/>
    <x v="2"/>
    <x v="2"/>
    <n v="3"/>
    <n v="45000"/>
    <n v="0"/>
    <n v="135000"/>
    <n v="52624.44"/>
    <s v="Cash"/>
    <x v="3"/>
  </r>
  <r>
    <s v="ORD-0051"/>
    <x v="49"/>
    <s v="Customer 103"/>
    <x v="4"/>
    <x v="1"/>
    <x v="0"/>
    <n v="3"/>
    <n v="35000"/>
    <n v="0.05"/>
    <n v="99750"/>
    <n v="23813.99"/>
    <s v="Cash"/>
    <x v="4"/>
  </r>
  <r>
    <s v="ORD-0052"/>
    <x v="50"/>
    <s v="Customer 068"/>
    <x v="9"/>
    <x v="0"/>
    <x v="1"/>
    <n v="3"/>
    <n v="650000"/>
    <n v="0"/>
    <n v="1950000"/>
    <n v="571819.51"/>
    <s v="Card"/>
    <x v="11"/>
  </r>
  <r>
    <s v="ORD-0053"/>
    <x v="51"/>
    <s v="Customer 112"/>
    <x v="1"/>
    <x v="0"/>
    <x v="0"/>
    <n v="3"/>
    <n v="55000"/>
    <n v="0.2"/>
    <n v="132000"/>
    <n v="6214.62"/>
    <s v="Card"/>
    <x v="1"/>
  </r>
  <r>
    <s v="ORD-0054"/>
    <x v="52"/>
    <s v="Customer 112"/>
    <x v="3"/>
    <x v="0"/>
    <x v="1"/>
    <n v="2"/>
    <n v="180000"/>
    <n v="0.05"/>
    <n v="342000"/>
    <n v="139685.63"/>
    <s v="Bank Transfer"/>
    <x v="9"/>
  </r>
  <r>
    <s v="ORD-0055"/>
    <x v="53"/>
    <s v="Customer 081"/>
    <x v="5"/>
    <x v="2"/>
    <x v="1"/>
    <n v="1"/>
    <n v="12000"/>
    <n v="0.2"/>
    <n v="9600"/>
    <n v="16.7"/>
    <s v="Cash"/>
    <x v="1"/>
  </r>
  <r>
    <s v="ORD-0056"/>
    <x v="54"/>
    <s v="Customer 076"/>
    <x v="2"/>
    <x v="1"/>
    <x v="0"/>
    <n v="4"/>
    <n v="210000"/>
    <n v="0.05"/>
    <n v="798000"/>
    <n v="244735.59"/>
    <s v="Bank Transfer"/>
    <x v="3"/>
  </r>
  <r>
    <s v="ORD-0057"/>
    <x v="55"/>
    <s v="Customer 045"/>
    <x v="8"/>
    <x v="1"/>
    <x v="0"/>
    <n v="4"/>
    <n v="120000"/>
    <n v="0.2"/>
    <n v="384000"/>
    <n v="23041.759999999998"/>
    <s v="Cash"/>
    <x v="1"/>
  </r>
  <r>
    <s v="ORD-0058"/>
    <x v="56"/>
    <s v="Customer 111"/>
    <x v="3"/>
    <x v="0"/>
    <x v="0"/>
    <n v="1"/>
    <n v="180000"/>
    <n v="0.05"/>
    <n v="171000"/>
    <n v="58055.99"/>
    <s v="Cash"/>
    <x v="9"/>
  </r>
  <r>
    <s v="ORD-0059"/>
    <x v="57"/>
    <s v="Customer 122"/>
    <x v="6"/>
    <x v="2"/>
    <x v="4"/>
    <n v="4"/>
    <n v="45000"/>
    <n v="0.2"/>
    <n v="144000"/>
    <n v="34614.11"/>
    <s v="Card"/>
    <x v="1"/>
  </r>
  <r>
    <s v="ORD-0060"/>
    <x v="58"/>
    <s v="Customer 061"/>
    <x v="4"/>
    <x v="1"/>
    <x v="3"/>
    <n v="5"/>
    <n v="35000"/>
    <n v="0.05"/>
    <n v="166250"/>
    <n v="65587.45"/>
    <s v="Bank Transfer"/>
    <x v="8"/>
  </r>
  <r>
    <s v="ORD-0061"/>
    <x v="59"/>
    <s v="Customer 122"/>
    <x v="8"/>
    <x v="1"/>
    <x v="0"/>
    <n v="1"/>
    <n v="120000"/>
    <n v="0"/>
    <n v="120000"/>
    <n v="46067.1"/>
    <s v="Card"/>
    <x v="11"/>
  </r>
  <r>
    <s v="ORD-0062"/>
    <x v="60"/>
    <s v="Customer 099"/>
    <x v="6"/>
    <x v="2"/>
    <x v="2"/>
    <n v="5"/>
    <n v="45000"/>
    <n v="0"/>
    <n v="225000"/>
    <n v="57610.49"/>
    <s v="Mobile Money"/>
    <x v="1"/>
  </r>
  <r>
    <s v="ORD-0063"/>
    <x v="59"/>
    <s v="Customer 057"/>
    <x v="8"/>
    <x v="1"/>
    <x v="4"/>
    <n v="1"/>
    <n v="120000"/>
    <n v="0"/>
    <n v="120000"/>
    <n v="28779.18"/>
    <s v="Mobile Money"/>
    <x v="11"/>
  </r>
  <r>
    <s v="ORD-0064"/>
    <x v="61"/>
    <s v="Customer 119"/>
    <x v="9"/>
    <x v="0"/>
    <x v="0"/>
    <n v="2"/>
    <n v="650000"/>
    <n v="0"/>
    <n v="1300000"/>
    <n v="424781.9"/>
    <s v="Cash"/>
    <x v="9"/>
  </r>
  <r>
    <s v="ORD-0065"/>
    <x v="62"/>
    <s v="Customer 141"/>
    <x v="6"/>
    <x v="2"/>
    <x v="2"/>
    <n v="5"/>
    <n v="45000"/>
    <n v="0.1"/>
    <n v="202500"/>
    <n v="28292.92"/>
    <s v="Bank Transfer"/>
    <x v="5"/>
  </r>
  <r>
    <s v="ORD-0066"/>
    <x v="63"/>
    <s v="Customer 071"/>
    <x v="6"/>
    <x v="2"/>
    <x v="0"/>
    <n v="3"/>
    <n v="45000"/>
    <n v="0"/>
    <n v="135000"/>
    <n v="30137"/>
    <s v="Mobile Money"/>
    <x v="1"/>
  </r>
  <r>
    <s v="ORD-0067"/>
    <x v="64"/>
    <s v="Customer 061"/>
    <x v="8"/>
    <x v="1"/>
    <x v="3"/>
    <n v="4"/>
    <n v="120000"/>
    <n v="0"/>
    <n v="480000"/>
    <n v="123524.59"/>
    <s v="Cash"/>
    <x v="7"/>
  </r>
  <r>
    <s v="ORD-0068"/>
    <x v="21"/>
    <s v="Customer 099"/>
    <x v="5"/>
    <x v="2"/>
    <x v="4"/>
    <n v="1"/>
    <n v="12000"/>
    <n v="0"/>
    <n v="12000"/>
    <n v="4911.3100000000004"/>
    <s v="Bank Transfer"/>
    <x v="9"/>
  </r>
  <r>
    <s v="ORD-0069"/>
    <x v="60"/>
    <s v="Customer 107"/>
    <x v="0"/>
    <x v="0"/>
    <x v="1"/>
    <n v="4"/>
    <n v="420000"/>
    <n v="0.05"/>
    <n v="1596000"/>
    <n v="425871.59"/>
    <s v="Bank Transfer"/>
    <x v="1"/>
  </r>
  <r>
    <s v="ORD-0070"/>
    <x v="65"/>
    <s v="Customer 148"/>
    <x v="3"/>
    <x v="0"/>
    <x v="2"/>
    <n v="5"/>
    <n v="180000"/>
    <n v="0.2"/>
    <n v="720000"/>
    <n v="220253.73"/>
    <s v="Mobile Money"/>
    <x v="6"/>
  </r>
  <r>
    <s v="ORD-0071"/>
    <x v="66"/>
    <s v="Customer 108"/>
    <x v="9"/>
    <x v="0"/>
    <x v="0"/>
    <n v="3"/>
    <n v="650000"/>
    <n v="0.1"/>
    <n v="1755000"/>
    <n v="233159.65"/>
    <s v="Bank Transfer"/>
    <x v="3"/>
  </r>
  <r>
    <s v="ORD-0072"/>
    <x v="67"/>
    <s v="Customer 100"/>
    <x v="6"/>
    <x v="2"/>
    <x v="3"/>
    <n v="3"/>
    <n v="45000"/>
    <n v="0.1"/>
    <n v="121500"/>
    <n v="29548.35"/>
    <s v="Mobile Money"/>
    <x v="2"/>
  </r>
  <r>
    <s v="ORD-0073"/>
    <x v="26"/>
    <s v="Customer 101"/>
    <x v="7"/>
    <x v="0"/>
    <x v="0"/>
    <n v="2"/>
    <n v="85000"/>
    <n v="0.15"/>
    <n v="144500"/>
    <n v="26483.73"/>
    <s v="Card"/>
    <x v="1"/>
  </r>
  <r>
    <s v="ORD-0074"/>
    <x v="68"/>
    <s v="Customer 047"/>
    <x v="0"/>
    <x v="0"/>
    <x v="1"/>
    <n v="4"/>
    <n v="420000"/>
    <n v="0"/>
    <n v="1680000"/>
    <n v="362796.23"/>
    <s v="Cash"/>
    <x v="5"/>
  </r>
  <r>
    <s v="ORD-0075"/>
    <x v="69"/>
    <s v="Customer 098"/>
    <x v="3"/>
    <x v="0"/>
    <x v="3"/>
    <n v="2"/>
    <n v="180000"/>
    <n v="0.1"/>
    <n v="324000"/>
    <n v="94230.59"/>
    <s v="Mobile Money"/>
    <x v="3"/>
  </r>
  <r>
    <s v="ORD-0076"/>
    <x v="34"/>
    <s v="Customer 014"/>
    <x v="4"/>
    <x v="1"/>
    <x v="3"/>
    <n v="4"/>
    <n v="35000"/>
    <n v="0"/>
    <n v="140000"/>
    <n v="34686.879999999997"/>
    <s v="Bank Transfer"/>
    <x v="4"/>
  </r>
  <r>
    <s v="ORD-0077"/>
    <x v="29"/>
    <s v="Customer 052"/>
    <x v="0"/>
    <x v="0"/>
    <x v="1"/>
    <n v="1"/>
    <n v="420000"/>
    <n v="0"/>
    <n v="420000"/>
    <n v="81314.03"/>
    <s v="Bank Transfer"/>
    <x v="5"/>
  </r>
  <r>
    <s v="ORD-0078"/>
    <x v="70"/>
    <s v="Customer 056"/>
    <x v="8"/>
    <x v="1"/>
    <x v="2"/>
    <n v="4"/>
    <n v="120000"/>
    <n v="0.2"/>
    <n v="384000"/>
    <n v="105175.13"/>
    <s v="Cash"/>
    <x v="11"/>
  </r>
  <r>
    <s v="ORD-0079"/>
    <x v="71"/>
    <s v="Customer 030"/>
    <x v="5"/>
    <x v="2"/>
    <x v="4"/>
    <n v="5"/>
    <n v="12000"/>
    <n v="0.15"/>
    <n v="51000"/>
    <n v="2387.5"/>
    <s v="Cash"/>
    <x v="11"/>
  </r>
  <r>
    <s v="ORD-0080"/>
    <x v="72"/>
    <s v="Customer 097"/>
    <x v="0"/>
    <x v="0"/>
    <x v="2"/>
    <n v="1"/>
    <n v="420000"/>
    <n v="0.05"/>
    <n v="399000"/>
    <n v="102704.65"/>
    <s v="Bank Transfer"/>
    <x v="9"/>
  </r>
  <r>
    <s v="ORD-0081"/>
    <x v="73"/>
    <s v="Customer 078"/>
    <x v="0"/>
    <x v="0"/>
    <x v="0"/>
    <n v="2"/>
    <n v="420000"/>
    <n v="0"/>
    <n v="840000"/>
    <n v="219876.63"/>
    <s v="Card"/>
    <x v="9"/>
  </r>
  <r>
    <s v="ORD-0082"/>
    <x v="74"/>
    <s v="Customer 095"/>
    <x v="1"/>
    <x v="0"/>
    <x v="1"/>
    <n v="3"/>
    <n v="55000"/>
    <n v="0.15"/>
    <n v="140250"/>
    <n v="30415.759999999998"/>
    <s v="Cash"/>
    <x v="0"/>
  </r>
  <r>
    <s v="ORD-0083"/>
    <x v="55"/>
    <s v="Customer 093"/>
    <x v="9"/>
    <x v="0"/>
    <x v="2"/>
    <n v="4"/>
    <n v="650000"/>
    <n v="0"/>
    <n v="2600000"/>
    <n v="865666.57"/>
    <s v="Bank Transfer"/>
    <x v="1"/>
  </r>
  <r>
    <s v="ORD-0084"/>
    <x v="75"/>
    <s v="Customer 138"/>
    <x v="3"/>
    <x v="0"/>
    <x v="2"/>
    <n v="5"/>
    <n v="180000"/>
    <n v="0.2"/>
    <n v="720000"/>
    <n v="159369.98000000001"/>
    <s v="Mobile Money"/>
    <x v="2"/>
  </r>
  <r>
    <s v="ORD-0085"/>
    <x v="73"/>
    <s v="Customer 023"/>
    <x v="3"/>
    <x v="0"/>
    <x v="3"/>
    <n v="3"/>
    <n v="180000"/>
    <n v="0.05"/>
    <n v="513000"/>
    <n v="91820.22"/>
    <s v="Bank Transfer"/>
    <x v="9"/>
  </r>
  <r>
    <s v="ORD-0086"/>
    <x v="76"/>
    <s v="Customer 087"/>
    <x v="8"/>
    <x v="1"/>
    <x v="1"/>
    <n v="5"/>
    <n v="120000"/>
    <n v="0.15"/>
    <n v="510000"/>
    <n v="71753.47"/>
    <s v="Mobile Money"/>
    <x v="1"/>
  </r>
  <r>
    <s v="ORD-0087"/>
    <x v="77"/>
    <s v="Customer 067"/>
    <x v="5"/>
    <x v="2"/>
    <x v="3"/>
    <n v="4"/>
    <n v="12000"/>
    <n v="0"/>
    <n v="48000"/>
    <n v="17001.47"/>
    <s v="Cash"/>
    <x v="2"/>
  </r>
  <r>
    <s v="ORD-0088"/>
    <x v="78"/>
    <s v="Customer 049"/>
    <x v="1"/>
    <x v="0"/>
    <x v="1"/>
    <n v="3"/>
    <n v="55000"/>
    <n v="0.15"/>
    <n v="140250"/>
    <n v="49047.77"/>
    <s v="Bank Transfer"/>
    <x v="10"/>
  </r>
  <r>
    <s v="ORD-0089"/>
    <x v="79"/>
    <s v="Customer 126"/>
    <x v="3"/>
    <x v="0"/>
    <x v="2"/>
    <n v="5"/>
    <n v="180000"/>
    <n v="0"/>
    <n v="900000"/>
    <n v="237181.93"/>
    <s v="Card"/>
    <x v="8"/>
  </r>
  <r>
    <s v="ORD-0090"/>
    <x v="80"/>
    <s v="Customer 079"/>
    <x v="0"/>
    <x v="0"/>
    <x v="0"/>
    <n v="2"/>
    <n v="420000"/>
    <n v="0.1"/>
    <n v="756000"/>
    <n v="137102.67000000001"/>
    <s v="Cash"/>
    <x v="7"/>
  </r>
  <r>
    <s v="ORD-0091"/>
    <x v="81"/>
    <s v="Customer 141"/>
    <x v="6"/>
    <x v="2"/>
    <x v="3"/>
    <n v="5"/>
    <n v="45000"/>
    <n v="0.05"/>
    <n v="213750"/>
    <n v="64150.64"/>
    <s v="Cash"/>
    <x v="9"/>
  </r>
  <r>
    <s v="ORD-0092"/>
    <x v="82"/>
    <s v="Customer 050"/>
    <x v="6"/>
    <x v="2"/>
    <x v="3"/>
    <n v="3"/>
    <n v="45000"/>
    <n v="0.05"/>
    <n v="128250"/>
    <n v="45596.89"/>
    <s v="Card"/>
    <x v="7"/>
  </r>
  <r>
    <s v="ORD-0093"/>
    <x v="83"/>
    <s v="Customer 124"/>
    <x v="2"/>
    <x v="1"/>
    <x v="3"/>
    <n v="2"/>
    <n v="210000"/>
    <n v="0"/>
    <n v="420000"/>
    <n v="164461.98000000001"/>
    <s v="Cash"/>
    <x v="10"/>
  </r>
  <r>
    <s v="ORD-0094"/>
    <x v="84"/>
    <s v="Customer 078"/>
    <x v="0"/>
    <x v="0"/>
    <x v="1"/>
    <n v="3"/>
    <n v="420000"/>
    <n v="0"/>
    <n v="1260000"/>
    <n v="444228.26"/>
    <s v="Bank Transfer"/>
    <x v="2"/>
  </r>
  <r>
    <s v="ORD-0095"/>
    <x v="6"/>
    <s v="Customer 033"/>
    <x v="4"/>
    <x v="1"/>
    <x v="2"/>
    <n v="1"/>
    <n v="35000"/>
    <n v="0.15"/>
    <n v="29750"/>
    <n v="7739.31"/>
    <s v="Card"/>
    <x v="0"/>
  </r>
  <r>
    <s v="ORD-0096"/>
    <x v="85"/>
    <s v="Customer 088"/>
    <x v="9"/>
    <x v="0"/>
    <x v="4"/>
    <n v="3"/>
    <n v="650000"/>
    <n v="0.1"/>
    <n v="1755000"/>
    <n v="430456.97"/>
    <s v="Card"/>
    <x v="9"/>
  </r>
  <r>
    <s v="ORD-0097"/>
    <x v="86"/>
    <s v="Customer 019"/>
    <x v="4"/>
    <x v="1"/>
    <x v="0"/>
    <n v="1"/>
    <n v="35000"/>
    <n v="0"/>
    <n v="35000"/>
    <n v="11963.31"/>
    <s v="Card"/>
    <x v="8"/>
  </r>
  <r>
    <s v="ORD-0098"/>
    <x v="87"/>
    <s v="Customer 064"/>
    <x v="7"/>
    <x v="0"/>
    <x v="1"/>
    <n v="5"/>
    <n v="85000"/>
    <n v="0.05"/>
    <n v="403750"/>
    <n v="160225.49"/>
    <s v="Mobile Money"/>
    <x v="11"/>
  </r>
  <r>
    <s v="ORD-0099"/>
    <x v="88"/>
    <s v="Customer 098"/>
    <x v="1"/>
    <x v="0"/>
    <x v="2"/>
    <n v="5"/>
    <n v="55000"/>
    <n v="0"/>
    <n v="275000"/>
    <n v="66154.75"/>
    <s v="Mobile Money"/>
    <x v="5"/>
  </r>
  <r>
    <s v="ORD-0100"/>
    <x v="89"/>
    <s v="Customer 016"/>
    <x v="4"/>
    <x v="1"/>
    <x v="0"/>
    <n v="4"/>
    <n v="35000"/>
    <n v="0.05"/>
    <n v="133000"/>
    <n v="34505.81"/>
    <s v="Card"/>
    <x v="9"/>
  </r>
  <r>
    <s v="ORD-0101"/>
    <x v="90"/>
    <s v="Customer 041"/>
    <x v="8"/>
    <x v="1"/>
    <x v="4"/>
    <n v="2"/>
    <n v="120000"/>
    <n v="0.05"/>
    <n v="228000"/>
    <n v="53204.26"/>
    <s v="Bank Transfer"/>
    <x v="5"/>
  </r>
  <r>
    <s v="ORD-0102"/>
    <x v="43"/>
    <s v="Customer 121"/>
    <x v="2"/>
    <x v="1"/>
    <x v="3"/>
    <n v="2"/>
    <n v="210000"/>
    <n v="0"/>
    <n v="420000"/>
    <n v="142674.10999999999"/>
    <s v="Card"/>
    <x v="4"/>
  </r>
  <r>
    <s v="ORD-0103"/>
    <x v="91"/>
    <s v="Customer 019"/>
    <x v="8"/>
    <x v="1"/>
    <x v="4"/>
    <n v="3"/>
    <n v="120000"/>
    <n v="0.2"/>
    <n v="288000"/>
    <n v="6446.23"/>
    <s v="Cash"/>
    <x v="7"/>
  </r>
  <r>
    <s v="ORD-0104"/>
    <x v="92"/>
    <s v="Customer 058"/>
    <x v="1"/>
    <x v="0"/>
    <x v="4"/>
    <n v="2"/>
    <n v="55000"/>
    <n v="0.1"/>
    <n v="99000"/>
    <n v="35091.14"/>
    <s v="Cash"/>
    <x v="10"/>
  </r>
  <r>
    <s v="ORD-0105"/>
    <x v="23"/>
    <s v="Customer 146"/>
    <x v="7"/>
    <x v="0"/>
    <x v="3"/>
    <n v="1"/>
    <n v="85000"/>
    <n v="0"/>
    <n v="85000"/>
    <n v="20059.169999999998"/>
    <s v="Mobile Money"/>
    <x v="4"/>
  </r>
  <r>
    <s v="ORD-0106"/>
    <x v="26"/>
    <s v="Customer 070"/>
    <x v="0"/>
    <x v="0"/>
    <x v="0"/>
    <n v="3"/>
    <n v="420000"/>
    <n v="0.2"/>
    <n v="1008000"/>
    <n v="178066.6"/>
    <s v="Mobile Money"/>
    <x v="1"/>
  </r>
  <r>
    <s v="ORD-0107"/>
    <x v="34"/>
    <s v="Customer 083"/>
    <x v="6"/>
    <x v="2"/>
    <x v="0"/>
    <n v="5"/>
    <n v="45000"/>
    <n v="0"/>
    <n v="225000"/>
    <n v="47217.56"/>
    <s v="Cash"/>
    <x v="4"/>
  </r>
  <r>
    <s v="ORD-0108"/>
    <x v="93"/>
    <s v="Customer 148"/>
    <x v="9"/>
    <x v="0"/>
    <x v="0"/>
    <n v="2"/>
    <n v="650000"/>
    <n v="0.2"/>
    <n v="1040000"/>
    <n v="31578.53"/>
    <s v="Card"/>
    <x v="4"/>
  </r>
  <r>
    <s v="ORD-0109"/>
    <x v="52"/>
    <s v="Customer 114"/>
    <x v="4"/>
    <x v="1"/>
    <x v="3"/>
    <n v="1"/>
    <n v="35000"/>
    <n v="0"/>
    <n v="35000"/>
    <n v="11303.77"/>
    <s v="Bank Transfer"/>
    <x v="9"/>
  </r>
  <r>
    <s v="ORD-0110"/>
    <x v="94"/>
    <s v="Customer 105"/>
    <x v="1"/>
    <x v="0"/>
    <x v="3"/>
    <n v="4"/>
    <n v="55000"/>
    <n v="0"/>
    <n v="220000"/>
    <n v="71081.38"/>
    <s v="Cash"/>
    <x v="1"/>
  </r>
  <r>
    <s v="ORD-0111"/>
    <x v="95"/>
    <s v="Customer 074"/>
    <x v="0"/>
    <x v="0"/>
    <x v="2"/>
    <n v="3"/>
    <n v="420000"/>
    <n v="0.1"/>
    <n v="1134000"/>
    <n v="205012.22"/>
    <s v="Card"/>
    <x v="11"/>
  </r>
  <r>
    <s v="ORD-0112"/>
    <x v="96"/>
    <s v="Customer 104"/>
    <x v="6"/>
    <x v="2"/>
    <x v="0"/>
    <n v="3"/>
    <n v="45000"/>
    <n v="0.05"/>
    <n v="128250"/>
    <n v="42216.67"/>
    <s v="Card"/>
    <x v="4"/>
  </r>
  <r>
    <s v="ORD-0113"/>
    <x v="97"/>
    <s v="Customer 093"/>
    <x v="2"/>
    <x v="1"/>
    <x v="0"/>
    <n v="4"/>
    <n v="210000"/>
    <n v="0"/>
    <n v="840000"/>
    <n v="335456.28000000003"/>
    <s v="Mobile Money"/>
    <x v="1"/>
  </r>
  <r>
    <s v="ORD-0114"/>
    <x v="41"/>
    <s v="Customer 074"/>
    <x v="6"/>
    <x v="2"/>
    <x v="2"/>
    <n v="2"/>
    <n v="45000"/>
    <n v="0.05"/>
    <n v="85500"/>
    <n v="22653.96"/>
    <s v="Mobile Money"/>
    <x v="0"/>
  </r>
  <r>
    <s v="ORD-0115"/>
    <x v="98"/>
    <s v="Customer 080"/>
    <x v="0"/>
    <x v="0"/>
    <x v="0"/>
    <n v="5"/>
    <n v="420000"/>
    <n v="0"/>
    <n v="2100000"/>
    <n v="542553.14"/>
    <s v="Card"/>
    <x v="0"/>
  </r>
  <r>
    <s v="ORD-0116"/>
    <x v="99"/>
    <s v="Customer 030"/>
    <x v="2"/>
    <x v="1"/>
    <x v="2"/>
    <n v="1"/>
    <n v="210000"/>
    <n v="0"/>
    <n v="210000"/>
    <n v="38239.019999999997"/>
    <s v="Card"/>
    <x v="6"/>
  </r>
  <r>
    <s v="ORD-0117"/>
    <x v="100"/>
    <s v="Customer 107"/>
    <x v="7"/>
    <x v="0"/>
    <x v="2"/>
    <n v="3"/>
    <n v="85000"/>
    <n v="0.15"/>
    <n v="216750"/>
    <n v="27932.41"/>
    <s v="Mobile Money"/>
    <x v="8"/>
  </r>
  <r>
    <s v="ORD-0118"/>
    <x v="101"/>
    <s v="Customer 131"/>
    <x v="8"/>
    <x v="1"/>
    <x v="4"/>
    <n v="5"/>
    <n v="120000"/>
    <n v="0"/>
    <n v="600000"/>
    <n v="207859.07"/>
    <s v="Card"/>
    <x v="1"/>
  </r>
  <r>
    <s v="ORD-0119"/>
    <x v="60"/>
    <s v="Customer 001"/>
    <x v="4"/>
    <x v="1"/>
    <x v="3"/>
    <n v="3"/>
    <n v="35000"/>
    <n v="0.15"/>
    <n v="89250"/>
    <n v="23925.66"/>
    <s v="Cash"/>
    <x v="1"/>
  </r>
  <r>
    <s v="ORD-0120"/>
    <x v="72"/>
    <s v="Customer 124"/>
    <x v="1"/>
    <x v="0"/>
    <x v="3"/>
    <n v="4"/>
    <n v="55000"/>
    <n v="0"/>
    <n v="220000"/>
    <n v="72475.08"/>
    <s v="Cash"/>
    <x v="9"/>
  </r>
  <r>
    <s v="ORD-0121"/>
    <x v="102"/>
    <s v="Customer 049"/>
    <x v="2"/>
    <x v="1"/>
    <x v="4"/>
    <n v="4"/>
    <n v="210000"/>
    <n v="0.1"/>
    <n v="756000"/>
    <n v="82429.11"/>
    <s v="Mobile Money"/>
    <x v="9"/>
  </r>
  <r>
    <s v="ORD-0122"/>
    <x v="103"/>
    <s v="Customer 098"/>
    <x v="8"/>
    <x v="1"/>
    <x v="2"/>
    <n v="1"/>
    <n v="120000"/>
    <n v="0.05"/>
    <n v="114000"/>
    <n v="23871.55"/>
    <s v="Bank Transfer"/>
    <x v="6"/>
  </r>
  <r>
    <s v="ORD-0123"/>
    <x v="104"/>
    <s v="Customer 085"/>
    <x v="6"/>
    <x v="2"/>
    <x v="1"/>
    <n v="2"/>
    <n v="45000"/>
    <n v="0.15"/>
    <n v="76500"/>
    <n v="3541.91"/>
    <s v="Mobile Money"/>
    <x v="0"/>
  </r>
  <r>
    <s v="ORD-0124"/>
    <x v="105"/>
    <s v="Customer 105"/>
    <x v="0"/>
    <x v="0"/>
    <x v="4"/>
    <n v="4"/>
    <n v="420000"/>
    <n v="0"/>
    <n v="1680000"/>
    <n v="428299.48"/>
    <s v="Card"/>
    <x v="8"/>
  </r>
  <r>
    <s v="ORD-0125"/>
    <x v="31"/>
    <s v="Customer 021"/>
    <x v="6"/>
    <x v="2"/>
    <x v="3"/>
    <n v="3"/>
    <n v="45000"/>
    <n v="0.15"/>
    <n v="114750"/>
    <n v="15250.92"/>
    <s v="Mobile Money"/>
    <x v="7"/>
  </r>
  <r>
    <s v="ORD-0126"/>
    <x v="90"/>
    <s v="Customer 018"/>
    <x v="5"/>
    <x v="2"/>
    <x v="4"/>
    <n v="4"/>
    <n v="12000"/>
    <n v="0.15"/>
    <n v="40800"/>
    <n v="13934.75"/>
    <s v="Cash"/>
    <x v="5"/>
  </r>
  <r>
    <s v="ORD-0127"/>
    <x v="93"/>
    <m/>
    <x v="8"/>
    <x v="1"/>
    <x v="2"/>
    <n v="4"/>
    <n v="120000"/>
    <n v="0"/>
    <n v="480000"/>
    <n v="117456.09"/>
    <s v="Bank Transfer"/>
    <x v="4"/>
  </r>
  <r>
    <s v="ORD-0128"/>
    <x v="98"/>
    <s v="Customer 076"/>
    <x v="4"/>
    <x v="1"/>
    <x v="3"/>
    <n v="1"/>
    <n v="35000"/>
    <n v="0.05"/>
    <n v="33250"/>
    <n v="6476.44"/>
    <s v="Cash"/>
    <x v="0"/>
  </r>
  <r>
    <s v="ORD-0129"/>
    <x v="106"/>
    <s v="Customer 047"/>
    <x v="3"/>
    <x v="0"/>
    <x v="4"/>
    <n v="2"/>
    <n v="180000"/>
    <n v="0.15"/>
    <n v="306000"/>
    <n v="67948.570000000007"/>
    <s v="Bank Transfer"/>
    <x v="11"/>
  </r>
  <r>
    <s v="ORD-0130"/>
    <x v="107"/>
    <s v="Customer 128"/>
    <x v="0"/>
    <x v="0"/>
    <x v="0"/>
    <n v="4"/>
    <n v="420000"/>
    <n v="0.15"/>
    <n v="1428000"/>
    <n v="194130.15"/>
    <s v="Bank Transfer"/>
    <x v="5"/>
  </r>
  <r>
    <s v="ORD-0131"/>
    <x v="97"/>
    <s v="Customer 003"/>
    <x v="8"/>
    <x v="1"/>
    <x v="2"/>
    <n v="3"/>
    <n v="120000"/>
    <n v="0.1"/>
    <n v="324000"/>
    <n v="101182.24"/>
    <s v="Cash"/>
    <x v="1"/>
  </r>
  <r>
    <s v="ORD-0132"/>
    <x v="108"/>
    <s v="Customer 077"/>
    <x v="2"/>
    <x v="1"/>
    <x v="2"/>
    <n v="1"/>
    <n v="210000"/>
    <n v="0.1"/>
    <n v="189000"/>
    <n v="19905.14"/>
    <s v="Cash"/>
    <x v="11"/>
  </r>
  <r>
    <s v="ORD-0133"/>
    <x v="109"/>
    <s v="Customer 028"/>
    <x v="6"/>
    <x v="2"/>
    <x v="4"/>
    <n v="2"/>
    <n v="45000"/>
    <n v="0.1"/>
    <n v="81000"/>
    <n v="10763.95"/>
    <s v="Mobile Money"/>
    <x v="3"/>
  </r>
  <r>
    <s v="ORD-0134"/>
    <x v="110"/>
    <s v="Customer 076"/>
    <x v="1"/>
    <x v="0"/>
    <x v="1"/>
    <n v="5"/>
    <n v="55000"/>
    <n v="0.05"/>
    <n v="261250"/>
    <n v="36292.620000000003"/>
    <s v="Mobile Money"/>
    <x v="6"/>
  </r>
  <r>
    <s v="ORD-0135"/>
    <x v="111"/>
    <s v="Customer 013"/>
    <x v="4"/>
    <x v="1"/>
    <x v="0"/>
    <n v="5"/>
    <n v="35000"/>
    <n v="0.2"/>
    <n v="140000"/>
    <n v="6974.78"/>
    <s v="Mobile Money"/>
    <x v="0"/>
  </r>
  <r>
    <s v="ORD-0136"/>
    <x v="112"/>
    <s v="Customer 049"/>
    <x v="4"/>
    <x v="1"/>
    <x v="0"/>
    <n v="5"/>
    <n v="35000"/>
    <n v="0.05"/>
    <n v="166250"/>
    <n v="59652.04"/>
    <s v="Cash"/>
    <x v="2"/>
  </r>
  <r>
    <s v="ORD-0137"/>
    <x v="113"/>
    <s v="Customer 080"/>
    <x v="7"/>
    <x v="0"/>
    <x v="2"/>
    <n v="1"/>
    <n v="85000"/>
    <n v="0.2"/>
    <n v="68000"/>
    <n v="6416.48"/>
    <s v="Card"/>
    <x v="5"/>
  </r>
  <r>
    <s v="ORD-0138"/>
    <x v="114"/>
    <s v="Customer 084"/>
    <x v="1"/>
    <x v="0"/>
    <x v="2"/>
    <n v="2"/>
    <n v="55000"/>
    <n v="0"/>
    <n v="110000"/>
    <n v="22484.05"/>
    <s v="Bank Transfer"/>
    <x v="6"/>
  </r>
  <r>
    <s v="ORD-0139"/>
    <x v="115"/>
    <s v="Customer 070"/>
    <x v="8"/>
    <x v="1"/>
    <x v="4"/>
    <n v="5"/>
    <n v="120000"/>
    <n v="0.05"/>
    <n v="570000"/>
    <n v="154001.92000000001"/>
    <s v="Cash"/>
    <x v="11"/>
  </r>
  <r>
    <s v="ORD-0140"/>
    <x v="32"/>
    <s v="Customer 020"/>
    <x v="6"/>
    <x v="2"/>
    <x v="4"/>
    <n v="3"/>
    <n v="45000"/>
    <n v="0"/>
    <n v="135000"/>
    <n v="43679.32"/>
    <s v="Bank Transfer"/>
    <x v="3"/>
  </r>
  <r>
    <s v="ORD-0141"/>
    <x v="61"/>
    <s v="Customer 004"/>
    <x v="3"/>
    <x v="0"/>
    <x v="3"/>
    <n v="3"/>
    <n v="180000"/>
    <n v="0"/>
    <n v="540000"/>
    <n v="127718.57"/>
    <s v="Card"/>
    <x v="9"/>
  </r>
  <r>
    <s v="ORD-0142"/>
    <x v="116"/>
    <s v="Customer 096"/>
    <x v="6"/>
    <x v="2"/>
    <x v="1"/>
    <n v="3"/>
    <n v="45000"/>
    <n v="0.15"/>
    <n v="114750"/>
    <n v="26611.62"/>
    <s v="Bank Transfer"/>
    <x v="6"/>
  </r>
  <r>
    <s v="ORD-0143"/>
    <x v="0"/>
    <s v="Customer 057"/>
    <x v="6"/>
    <x v="2"/>
    <x v="1"/>
    <n v="5"/>
    <n v="45000"/>
    <n v="0.15"/>
    <n v="191250"/>
    <n v="47573.62"/>
    <s v="Mobile Money"/>
    <x v="0"/>
  </r>
  <r>
    <s v="ORD-0144"/>
    <x v="117"/>
    <s v="Customer 010"/>
    <x v="4"/>
    <x v="1"/>
    <x v="3"/>
    <n v="4"/>
    <n v="35000"/>
    <n v="0"/>
    <n v="140000"/>
    <n v="57716.43"/>
    <s v="Mobile Money"/>
    <x v="5"/>
  </r>
  <r>
    <s v="ORD-0145"/>
    <x v="4"/>
    <s v="Customer 117"/>
    <x v="0"/>
    <x v="0"/>
    <x v="3"/>
    <n v="2"/>
    <n v="420000"/>
    <n v="0.15"/>
    <n v="714000"/>
    <n v="221231.39"/>
    <s v="Mobile Money"/>
    <x v="4"/>
  </r>
  <r>
    <s v="ORD-0146"/>
    <x v="118"/>
    <s v="Customer 126"/>
    <x v="1"/>
    <x v="0"/>
    <x v="0"/>
    <n v="4"/>
    <n v="55000"/>
    <n v="0.2"/>
    <n v="176000"/>
    <n v="49118.11"/>
    <s v="Mobile Money"/>
    <x v="11"/>
  </r>
  <r>
    <s v="ORD-0147"/>
    <x v="119"/>
    <s v="Customer 061"/>
    <x v="4"/>
    <x v="1"/>
    <x v="3"/>
    <n v="3"/>
    <n v="35000"/>
    <n v="0"/>
    <n v="105000"/>
    <n v="34680.089999999997"/>
    <s v="Card"/>
    <x v="0"/>
  </r>
  <r>
    <s v="ORD-0148"/>
    <x v="102"/>
    <s v="Customer 049"/>
    <x v="5"/>
    <x v="2"/>
    <x v="1"/>
    <n v="3"/>
    <n v="12000"/>
    <n v="0"/>
    <n v="36000"/>
    <n v="12330.08"/>
    <s v="Mobile Money"/>
    <x v="9"/>
  </r>
  <r>
    <s v="ORD-0149"/>
    <x v="120"/>
    <s v="Customer 006"/>
    <x v="0"/>
    <x v="0"/>
    <x v="1"/>
    <n v="2"/>
    <n v="420000"/>
    <n v="0.2"/>
    <n v="672000"/>
    <n v="64963.01"/>
    <s v="Cash"/>
    <x v="10"/>
  </r>
  <r>
    <s v="ORD-0150"/>
    <x v="70"/>
    <s v="Customer 142"/>
    <x v="8"/>
    <x v="1"/>
    <x v="4"/>
    <n v="5"/>
    <n v="120000"/>
    <n v="0"/>
    <n v="600000"/>
    <n v="258885.16"/>
    <s v="Bank Transfer"/>
    <x v="11"/>
  </r>
  <r>
    <s v="ORD-0151"/>
    <x v="121"/>
    <s v="Customer 038"/>
    <x v="8"/>
    <x v="1"/>
    <x v="4"/>
    <n v="2"/>
    <n v="120000"/>
    <n v="0.15"/>
    <n v="204000"/>
    <n v="71816.259999999995"/>
    <s v="Cash"/>
    <x v="3"/>
  </r>
  <r>
    <s v="ORD-0152"/>
    <x v="122"/>
    <s v="Customer 061"/>
    <x v="7"/>
    <x v="0"/>
    <x v="0"/>
    <n v="1"/>
    <n v="85000"/>
    <n v="0"/>
    <n v="85000"/>
    <n v="37908.959999999999"/>
    <s v="Cash"/>
    <x v="4"/>
  </r>
  <r>
    <s v="ORD-0153"/>
    <x v="123"/>
    <s v="Customer 108"/>
    <x v="9"/>
    <x v="0"/>
    <x v="0"/>
    <n v="3"/>
    <n v="650000"/>
    <n v="0"/>
    <n v="1950000"/>
    <n v="810761.63"/>
    <s v="Card"/>
    <x v="11"/>
  </r>
  <r>
    <s v="ORD-0154"/>
    <x v="124"/>
    <s v="Customer 028"/>
    <x v="0"/>
    <x v="0"/>
    <x v="2"/>
    <n v="4"/>
    <n v="420000"/>
    <n v="0.05"/>
    <n v="1596000"/>
    <n v="439195.26"/>
    <s v="Bank Transfer"/>
    <x v="8"/>
  </r>
  <r>
    <s v="ORD-0155"/>
    <x v="125"/>
    <s v="Customer 008"/>
    <x v="1"/>
    <x v="0"/>
    <x v="1"/>
    <n v="5"/>
    <n v="55000"/>
    <n v="0.05"/>
    <n v="261250"/>
    <n v="75990.34"/>
    <s v="Mobile Money"/>
    <x v="0"/>
  </r>
  <r>
    <s v="ORD-0156"/>
    <x v="126"/>
    <s v="Customer 114"/>
    <x v="3"/>
    <x v="0"/>
    <x v="1"/>
    <n v="1"/>
    <n v="180000"/>
    <n v="0.1"/>
    <n v="162000"/>
    <n v="28377.3"/>
    <s v="Card"/>
    <x v="1"/>
  </r>
  <r>
    <s v="ORD-0157"/>
    <x v="127"/>
    <s v="Customer 150"/>
    <x v="5"/>
    <x v="2"/>
    <x v="0"/>
    <n v="2"/>
    <n v="12000"/>
    <n v="0"/>
    <n v="24000"/>
    <n v="9982.2800000000007"/>
    <s v="Cash"/>
    <x v="5"/>
  </r>
  <r>
    <s v="ORD-0158"/>
    <x v="88"/>
    <s v="Customer 111"/>
    <x v="3"/>
    <x v="0"/>
    <x v="1"/>
    <n v="5"/>
    <n v="180000"/>
    <n v="0.05"/>
    <n v="855000"/>
    <n v="249747.15"/>
    <s v="Card"/>
    <x v="5"/>
  </r>
  <r>
    <s v="ORD-0159"/>
    <x v="128"/>
    <s v="Customer 106"/>
    <x v="2"/>
    <x v="1"/>
    <x v="3"/>
    <n v="4"/>
    <n v="210000"/>
    <n v="0.1"/>
    <n v="756000"/>
    <n v="92580.96"/>
    <s v="Mobile Money"/>
    <x v="2"/>
  </r>
  <r>
    <s v="ORD-0160"/>
    <x v="60"/>
    <s v="Customer 066"/>
    <x v="3"/>
    <x v="0"/>
    <x v="3"/>
    <n v="1"/>
    <n v="180000"/>
    <n v="0.05"/>
    <n v="171000"/>
    <n v="51259.27"/>
    <s v="Bank Transfer"/>
    <x v="1"/>
  </r>
  <r>
    <s v="ORD-0161"/>
    <x v="129"/>
    <s v="Customer 025"/>
    <x v="6"/>
    <x v="2"/>
    <x v="3"/>
    <n v="1"/>
    <n v="45000"/>
    <n v="0"/>
    <n v="45000"/>
    <n v="19117.25"/>
    <s v="Bank Transfer"/>
    <x v="4"/>
  </r>
  <r>
    <s v="ORD-0162"/>
    <x v="130"/>
    <s v="Customer 032"/>
    <x v="2"/>
    <x v="1"/>
    <x v="2"/>
    <n v="5"/>
    <n v="210000"/>
    <n v="0.15"/>
    <n v="892500"/>
    <n v="155762.76"/>
    <s v="Cash"/>
    <x v="0"/>
  </r>
  <r>
    <s v="ORD-0163"/>
    <x v="41"/>
    <s v="Customer 027"/>
    <x v="3"/>
    <x v="0"/>
    <x v="0"/>
    <n v="3"/>
    <n v="180000"/>
    <n v="0.15"/>
    <n v="459000"/>
    <n v="116444.95"/>
    <s v="Bank Transfer"/>
    <x v="0"/>
  </r>
  <r>
    <s v="ORD-0164"/>
    <x v="131"/>
    <s v="Customer 090"/>
    <x v="7"/>
    <x v="0"/>
    <x v="0"/>
    <n v="4"/>
    <n v="85000"/>
    <n v="0"/>
    <n v="340000"/>
    <n v="75220.17"/>
    <s v="Cash"/>
    <x v="10"/>
  </r>
  <r>
    <s v="ORD-0165"/>
    <x v="28"/>
    <s v="Customer 144"/>
    <x v="0"/>
    <x v="0"/>
    <x v="0"/>
    <n v="5"/>
    <n v="420000"/>
    <n v="0"/>
    <n v="2100000"/>
    <n v="487305.48"/>
    <s v="Card"/>
    <x v="7"/>
  </r>
  <r>
    <s v="ORD-0166"/>
    <x v="131"/>
    <s v="Customer 080"/>
    <x v="1"/>
    <x v="0"/>
    <x v="3"/>
    <n v="3"/>
    <n v="55000"/>
    <n v="0"/>
    <n v="165000"/>
    <n v="66212.460000000006"/>
    <s v="Cash"/>
    <x v="10"/>
  </r>
  <r>
    <s v="ORD-0167"/>
    <x v="132"/>
    <s v="Customer 018"/>
    <x v="9"/>
    <x v="0"/>
    <x v="4"/>
    <n v="2"/>
    <n v="650000"/>
    <n v="0.15"/>
    <n v="1105000"/>
    <n v="159272.03"/>
    <s v="Card"/>
    <x v="2"/>
  </r>
  <r>
    <s v="ORD-0168"/>
    <x v="133"/>
    <s v="Customer 088"/>
    <x v="0"/>
    <x v="0"/>
    <x v="4"/>
    <n v="2"/>
    <n v="420000"/>
    <n v="0.1"/>
    <n v="756000"/>
    <n v="198781.99"/>
    <s v="Cash"/>
    <x v="8"/>
  </r>
  <r>
    <s v="ORD-0169"/>
    <x v="134"/>
    <s v="Customer 014"/>
    <x v="4"/>
    <x v="1"/>
    <x v="4"/>
    <n v="5"/>
    <n v="35000"/>
    <n v="0.15"/>
    <n v="148750"/>
    <n v="48485.78"/>
    <s v="Bank Transfer"/>
    <x v="3"/>
  </r>
  <r>
    <s v="ORD-0170"/>
    <x v="33"/>
    <s v="Customer 109"/>
    <x v="1"/>
    <x v="0"/>
    <x v="2"/>
    <n v="1"/>
    <n v="55000"/>
    <n v="0.05"/>
    <n v="52250"/>
    <n v="15419.77"/>
    <s v="Mobile Money"/>
    <x v="0"/>
  </r>
  <r>
    <s v="ORD-0171"/>
    <x v="135"/>
    <s v="Customer 111"/>
    <x v="3"/>
    <x v="0"/>
    <x v="1"/>
    <n v="2"/>
    <n v="180000"/>
    <n v="0.15"/>
    <n v="306000"/>
    <n v="96936.94"/>
    <s v="Cash"/>
    <x v="7"/>
  </r>
  <r>
    <s v="ORD-0172"/>
    <x v="136"/>
    <s v="Customer 057"/>
    <x v="1"/>
    <x v="0"/>
    <x v="2"/>
    <n v="5"/>
    <n v="55000"/>
    <n v="0.2"/>
    <n v="220000"/>
    <n v="45849.86"/>
    <s v="Card"/>
    <x v="8"/>
  </r>
  <r>
    <s v="ORD-0173"/>
    <x v="35"/>
    <s v="Customer 066"/>
    <x v="9"/>
    <x v="0"/>
    <x v="3"/>
    <n v="3"/>
    <n v="650000"/>
    <n v="0"/>
    <n v="1950000"/>
    <n v="473490.47"/>
    <s v="Cash"/>
    <x v="2"/>
  </r>
  <r>
    <s v="ORD-0174"/>
    <x v="137"/>
    <s v="Customer 034"/>
    <x v="0"/>
    <x v="0"/>
    <x v="2"/>
    <n v="4"/>
    <n v="420000"/>
    <n v="0.2"/>
    <n v="1344000"/>
    <n v="224654.89"/>
    <s v="Bank Transfer"/>
    <x v="0"/>
  </r>
  <r>
    <s v="ORD-0175"/>
    <x v="138"/>
    <s v="Customer 011"/>
    <x v="2"/>
    <x v="1"/>
    <x v="2"/>
    <n v="3"/>
    <n v="210000"/>
    <n v="0"/>
    <n v="630000"/>
    <n v="215958.19"/>
    <s v="Card"/>
    <x v="9"/>
  </r>
  <r>
    <s v="ORD-0176"/>
    <x v="139"/>
    <s v="Customer 104"/>
    <x v="6"/>
    <x v="2"/>
    <x v="2"/>
    <n v="3"/>
    <n v="45000"/>
    <n v="0.15"/>
    <n v="114750"/>
    <n v="24852.59"/>
    <s v="Cash"/>
    <x v="4"/>
  </r>
  <r>
    <s v="ORD-0177"/>
    <x v="140"/>
    <s v="Customer 118"/>
    <x v="0"/>
    <x v="0"/>
    <x v="3"/>
    <n v="1"/>
    <n v="420000"/>
    <n v="0.05"/>
    <n v="399000"/>
    <n v="148509.57999999999"/>
    <s v="Card"/>
    <x v="6"/>
  </r>
  <r>
    <s v="ORD-0178"/>
    <x v="141"/>
    <s v="Customer 135"/>
    <x v="3"/>
    <x v="0"/>
    <x v="1"/>
    <n v="2"/>
    <n v="180000"/>
    <n v="0.1"/>
    <n v="324000"/>
    <n v="68761.710000000006"/>
    <s v="Mobile Money"/>
    <x v="4"/>
  </r>
  <r>
    <s v="ORD-0179"/>
    <x v="142"/>
    <s v="Customer 020"/>
    <x v="4"/>
    <x v="1"/>
    <x v="0"/>
    <n v="2"/>
    <n v="35000"/>
    <n v="0.05"/>
    <n v="66500"/>
    <n v="13274.67"/>
    <s v="Card"/>
    <x v="3"/>
  </r>
  <r>
    <s v="ORD-0180"/>
    <x v="143"/>
    <s v="Customer 038"/>
    <x v="2"/>
    <x v="1"/>
    <x v="4"/>
    <n v="2"/>
    <n v="210000"/>
    <n v="0.05"/>
    <n v="399000"/>
    <n v="128185.29"/>
    <s v="Card"/>
    <x v="8"/>
  </r>
  <r>
    <s v="ORD-0181"/>
    <x v="144"/>
    <s v="Customer 020"/>
    <x v="7"/>
    <x v="0"/>
    <x v="4"/>
    <n v="2"/>
    <n v="85000"/>
    <n v="0"/>
    <n v="170000"/>
    <n v="48849.89"/>
    <s v="Mobile Money"/>
    <x v="7"/>
  </r>
  <r>
    <s v="ORD-0182"/>
    <x v="145"/>
    <s v="Customer 145"/>
    <x v="6"/>
    <x v="2"/>
    <x v="0"/>
    <n v="5"/>
    <n v="45000"/>
    <n v="0.1"/>
    <n v="202500"/>
    <n v="37371.14"/>
    <s v="Cash"/>
    <x v="9"/>
  </r>
  <r>
    <s v="ORD-0183"/>
    <x v="146"/>
    <s v="Customer 078"/>
    <x v="5"/>
    <x v="2"/>
    <x v="3"/>
    <n v="4"/>
    <n v="12000"/>
    <n v="0"/>
    <n v="48000"/>
    <n v="15522.78"/>
    <s v="Card"/>
    <x v="11"/>
  </r>
  <r>
    <s v="ORD-0184"/>
    <x v="147"/>
    <s v="Customer 010"/>
    <x v="5"/>
    <x v="2"/>
    <x v="1"/>
    <n v="1"/>
    <n v="12000"/>
    <n v="0.05"/>
    <n v="11400"/>
    <n v="3303.95"/>
    <s v="Cash"/>
    <x v="8"/>
  </r>
  <r>
    <s v="ORD-0185"/>
    <x v="139"/>
    <s v="Customer 099"/>
    <x v="4"/>
    <x v="1"/>
    <x v="2"/>
    <n v="1"/>
    <n v="35000"/>
    <n v="0.15"/>
    <n v="29750"/>
    <n v="4885.95"/>
    <s v="Card"/>
    <x v="4"/>
  </r>
  <r>
    <s v="ORD-0186"/>
    <x v="148"/>
    <s v="Customer 129"/>
    <x v="6"/>
    <x v="2"/>
    <x v="4"/>
    <n v="2"/>
    <n v="45000"/>
    <n v="0.05"/>
    <n v="85500"/>
    <n v="21298.36"/>
    <s v="Card"/>
    <x v="9"/>
  </r>
  <r>
    <s v="ORD-0187"/>
    <x v="149"/>
    <s v="Customer 045"/>
    <x v="6"/>
    <x v="2"/>
    <x v="1"/>
    <n v="3"/>
    <n v="45000"/>
    <n v="0.2"/>
    <n v="108000"/>
    <n v="30676.2"/>
    <s v="Bank Transfer"/>
    <x v="4"/>
  </r>
  <r>
    <s v="ORD-0188"/>
    <x v="150"/>
    <s v="Customer 094"/>
    <x v="6"/>
    <x v="2"/>
    <x v="3"/>
    <n v="5"/>
    <n v="45000"/>
    <n v="0.15"/>
    <n v="191250"/>
    <n v="30454.32"/>
    <s v="Cash"/>
    <x v="1"/>
  </r>
  <r>
    <s v="ORD-0189"/>
    <x v="151"/>
    <s v="Customer 086"/>
    <x v="3"/>
    <x v="0"/>
    <x v="1"/>
    <n v="3"/>
    <n v="180000"/>
    <n v="0.2"/>
    <n v="432000"/>
    <n v="47828.24"/>
    <s v="Cash"/>
    <x v="6"/>
  </r>
  <r>
    <s v="ORD-0190"/>
    <x v="61"/>
    <s v="Customer 039"/>
    <x v="0"/>
    <x v="0"/>
    <x v="3"/>
    <n v="4"/>
    <n v="420000"/>
    <n v="0.05"/>
    <n v="1596000"/>
    <n v="557694.71"/>
    <s v="Card"/>
    <x v="9"/>
  </r>
  <r>
    <s v="ORD-0191"/>
    <x v="120"/>
    <s v="Customer 101"/>
    <x v="1"/>
    <x v="0"/>
    <x v="4"/>
    <n v="2"/>
    <n v="55000"/>
    <n v="0.05"/>
    <n v="104500"/>
    <n v="34786.120000000003"/>
    <s v="Card"/>
    <x v="10"/>
  </r>
  <r>
    <s v="ORD-0192"/>
    <x v="138"/>
    <s v="Customer 033"/>
    <x v="4"/>
    <x v="1"/>
    <x v="0"/>
    <n v="4"/>
    <n v="35000"/>
    <n v="0.2"/>
    <n v="112000"/>
    <n v="5075.18"/>
    <s v="Card"/>
    <x v="9"/>
  </r>
  <r>
    <s v="ORD-0193"/>
    <x v="152"/>
    <s v="Customer 047"/>
    <x v="3"/>
    <x v="0"/>
    <x v="4"/>
    <n v="3"/>
    <n v="180000"/>
    <n v="0"/>
    <n v="540000"/>
    <n v="190133.26"/>
    <s v="Cash"/>
    <x v="8"/>
  </r>
  <r>
    <s v="ORD-0194"/>
    <x v="153"/>
    <s v="Customer 076"/>
    <x v="6"/>
    <x v="2"/>
    <x v="1"/>
    <n v="2"/>
    <n v="45000"/>
    <n v="0"/>
    <n v="90000"/>
    <n v="36734.83"/>
    <s v="Card"/>
    <x v="2"/>
  </r>
  <r>
    <s v="ORD-0195"/>
    <x v="154"/>
    <s v="Customer 042"/>
    <x v="5"/>
    <x v="2"/>
    <x v="4"/>
    <n v="2"/>
    <n v="12000"/>
    <n v="0.15"/>
    <n v="20400"/>
    <n v="4758.8599999999997"/>
    <s v="Bank Transfer"/>
    <x v="5"/>
  </r>
  <r>
    <s v="ORD-0196"/>
    <x v="125"/>
    <s v="Customer 061"/>
    <x v="6"/>
    <x v="2"/>
    <x v="2"/>
    <n v="4"/>
    <n v="45000"/>
    <n v="0.05"/>
    <n v="171000"/>
    <n v="39128.76"/>
    <s v="Cash"/>
    <x v="0"/>
  </r>
  <r>
    <s v="ORD-0197"/>
    <x v="155"/>
    <s v="Customer 121"/>
    <x v="6"/>
    <x v="2"/>
    <x v="4"/>
    <n v="5"/>
    <n v="45000"/>
    <n v="0"/>
    <n v="225000"/>
    <n v="82449.83"/>
    <s v="Cash"/>
    <x v="2"/>
  </r>
  <r>
    <s v="ORD-0198"/>
    <x v="156"/>
    <s v="Customer 129"/>
    <x v="1"/>
    <x v="0"/>
    <x v="0"/>
    <n v="4"/>
    <n v="55000"/>
    <n v="0.05"/>
    <n v="209000"/>
    <n v="41779.43"/>
    <s v="Mobile Money"/>
    <x v="1"/>
  </r>
  <r>
    <s v="ORD-0199"/>
    <x v="157"/>
    <s v="Customer 014"/>
    <x v="7"/>
    <x v="0"/>
    <x v="2"/>
    <n v="5"/>
    <n v="85000"/>
    <n v="0"/>
    <n v="425000"/>
    <n v="91073.03"/>
    <s v="Cash"/>
    <x v="2"/>
  </r>
  <r>
    <s v="ORD-0200"/>
    <x v="149"/>
    <s v="Customer 042"/>
    <x v="2"/>
    <x v="1"/>
    <x v="3"/>
    <n v="5"/>
    <n v="210000"/>
    <n v="0"/>
    <n v="1050000"/>
    <n v="391684.64"/>
    <s v="Mobile Money"/>
    <x v="4"/>
  </r>
  <r>
    <s v="ORD-0201"/>
    <x v="59"/>
    <s v="Customer 057"/>
    <x v="2"/>
    <x v="1"/>
    <x v="2"/>
    <n v="4"/>
    <n v="210000"/>
    <n v="0"/>
    <n v="840000"/>
    <n v="163353.47"/>
    <s v="Cash"/>
    <x v="11"/>
  </r>
  <r>
    <s v="ORD-0202"/>
    <x v="60"/>
    <s v="Customer 061"/>
    <x v="9"/>
    <x v="0"/>
    <x v="2"/>
    <n v="1"/>
    <n v="650000"/>
    <n v="0.1"/>
    <n v="585000"/>
    <n v="139397.75"/>
    <s v="Card"/>
    <x v="1"/>
  </r>
  <r>
    <s v="ORD-0203"/>
    <x v="158"/>
    <s v="Customer 086"/>
    <x v="5"/>
    <x v="2"/>
    <x v="4"/>
    <n v="1"/>
    <n v="12000"/>
    <n v="0.05"/>
    <n v="11400"/>
    <n v="1784.12"/>
    <s v="Bank Transfer"/>
    <x v="2"/>
  </r>
  <r>
    <s v="ORD-0204"/>
    <x v="159"/>
    <s v="Customer 121"/>
    <x v="9"/>
    <x v="0"/>
    <x v="2"/>
    <n v="4"/>
    <n v="650000"/>
    <n v="0.2"/>
    <n v="2080000"/>
    <n v="66560.44"/>
    <s v="Card"/>
    <x v="7"/>
  </r>
  <r>
    <s v="ORD-0205"/>
    <x v="18"/>
    <s v="Customer 141"/>
    <x v="0"/>
    <x v="0"/>
    <x v="0"/>
    <n v="3"/>
    <n v="420000"/>
    <n v="0"/>
    <n v="1260000"/>
    <n v="282945.55"/>
    <s v="Mobile Money"/>
    <x v="0"/>
  </r>
  <r>
    <s v="ORD-0206"/>
    <x v="91"/>
    <s v="Customer 062"/>
    <x v="0"/>
    <x v="0"/>
    <x v="2"/>
    <n v="2"/>
    <n v="420000"/>
    <n v="0.05"/>
    <n v="798000"/>
    <n v="308364.79999999999"/>
    <s v="Mobile Money"/>
    <x v="7"/>
  </r>
  <r>
    <s v="ORD-0207"/>
    <x v="122"/>
    <s v="Customer 132"/>
    <x v="0"/>
    <x v="0"/>
    <x v="0"/>
    <n v="4"/>
    <n v="420000"/>
    <n v="0.15"/>
    <n v="1428000"/>
    <n v="260846"/>
    <s v="Bank Transfer"/>
    <x v="4"/>
  </r>
  <r>
    <s v="ORD-0208"/>
    <x v="160"/>
    <s v="Customer 062"/>
    <x v="7"/>
    <x v="0"/>
    <x v="0"/>
    <n v="4"/>
    <n v="85000"/>
    <n v="0"/>
    <n v="340000"/>
    <n v="96560.48"/>
    <s v="Mobile Money"/>
    <x v="7"/>
  </r>
  <r>
    <s v="ORD-0209"/>
    <x v="161"/>
    <s v="Customer 018"/>
    <x v="7"/>
    <x v="0"/>
    <x v="0"/>
    <n v="1"/>
    <n v="85000"/>
    <n v="0.15"/>
    <n v="72250"/>
    <n v="3131.68"/>
    <s v="Card"/>
    <x v="10"/>
  </r>
  <r>
    <s v="ORD-0210"/>
    <x v="162"/>
    <s v="Customer 096"/>
    <x v="3"/>
    <x v="0"/>
    <x v="3"/>
    <n v="1"/>
    <n v="180000"/>
    <n v="0.2"/>
    <n v="144000"/>
    <n v="26197.57"/>
    <s v="Card"/>
    <x v="1"/>
  </r>
  <r>
    <s v="ORD-0211"/>
    <x v="129"/>
    <s v="Customer 027"/>
    <x v="5"/>
    <x v="2"/>
    <x v="0"/>
    <n v="3"/>
    <n v="12000"/>
    <n v="0"/>
    <n v="36000"/>
    <n v="9075.81"/>
    <s v="Cash"/>
    <x v="4"/>
  </r>
  <r>
    <s v="ORD-0212"/>
    <x v="125"/>
    <s v="Customer 045"/>
    <x v="7"/>
    <x v="0"/>
    <x v="2"/>
    <n v="3"/>
    <n v="85000"/>
    <n v="0"/>
    <n v="216750"/>
    <n v="53191.02"/>
    <s v="Mobile Money"/>
    <x v="0"/>
  </r>
  <r>
    <s v="ORD-0213"/>
    <x v="163"/>
    <s v="Customer 118"/>
    <x v="7"/>
    <x v="0"/>
    <x v="1"/>
    <n v="1"/>
    <n v="85000"/>
    <n v="0.2"/>
    <n v="68000"/>
    <n v="3436.43"/>
    <s v="Cash"/>
    <x v="11"/>
  </r>
  <r>
    <s v="ORD-0214"/>
    <x v="125"/>
    <s v="Customer 080"/>
    <x v="8"/>
    <x v="1"/>
    <x v="0"/>
    <n v="2"/>
    <n v="120000"/>
    <n v="0"/>
    <n v="240000"/>
    <n v="87549.39"/>
    <s v="Mobile Money"/>
    <x v="0"/>
  </r>
  <r>
    <s v="ORD-0215"/>
    <x v="25"/>
    <s v="Customer 049"/>
    <x v="2"/>
    <x v="1"/>
    <x v="3"/>
    <n v="3"/>
    <n v="210000"/>
    <n v="0"/>
    <n v="630000"/>
    <n v="155365.21"/>
    <s v="Cash"/>
    <x v="1"/>
  </r>
  <r>
    <s v="ORD-0216"/>
    <x v="164"/>
    <s v="Customer 095"/>
    <x v="9"/>
    <x v="0"/>
    <x v="2"/>
    <n v="3"/>
    <n v="650000"/>
    <n v="0.05"/>
    <n v="1852500"/>
    <n v="714463.91"/>
    <s v="Mobile Money"/>
    <x v="10"/>
  </r>
  <r>
    <s v="ORD-0217"/>
    <x v="165"/>
    <s v="Customer 128"/>
    <x v="6"/>
    <x v="2"/>
    <x v="3"/>
    <n v="3"/>
    <n v="45000"/>
    <n v="0"/>
    <n v="135000"/>
    <n v="42663.39"/>
    <s v="Cash"/>
    <x v="6"/>
  </r>
  <r>
    <s v="ORD-0218"/>
    <x v="166"/>
    <s v="Customer 047"/>
    <x v="0"/>
    <x v="0"/>
    <x v="0"/>
    <n v="1"/>
    <n v="420000"/>
    <n v="0.1"/>
    <n v="378000"/>
    <n v="78681.8"/>
    <s v="Cash"/>
    <x v="1"/>
  </r>
  <r>
    <s v="ORD-0219"/>
    <x v="149"/>
    <s v="Customer 079"/>
    <x v="5"/>
    <x v="2"/>
    <x v="2"/>
    <n v="1"/>
    <n v="12000"/>
    <n v="0.05"/>
    <n v="11400"/>
    <n v="2658.62"/>
    <s v="Mobile Money"/>
    <x v="4"/>
  </r>
  <r>
    <s v="ORD-0220"/>
    <x v="83"/>
    <s v="Customer 091"/>
    <x v="7"/>
    <x v="0"/>
    <x v="0"/>
    <n v="4"/>
    <n v="85000"/>
    <n v="0.05"/>
    <n v="323000"/>
    <n v="94953.5"/>
    <s v="Mobile Money"/>
    <x v="10"/>
  </r>
  <r>
    <s v="ORD-0221"/>
    <x v="9"/>
    <s v="Customer 104"/>
    <x v="4"/>
    <x v="1"/>
    <x v="3"/>
    <n v="1"/>
    <n v="35000"/>
    <n v="0"/>
    <n v="35000"/>
    <n v="9407.31"/>
    <s v="Bank Transfer"/>
    <x v="5"/>
  </r>
  <r>
    <s v="ORD-0222"/>
    <x v="167"/>
    <s v="Customer 009"/>
    <x v="9"/>
    <x v="0"/>
    <x v="4"/>
    <n v="5"/>
    <n v="650000"/>
    <n v="0.2"/>
    <n v="2600000"/>
    <n v="126898.75"/>
    <s v="Card"/>
    <x v="11"/>
  </r>
  <r>
    <s v="ORD-0223"/>
    <x v="168"/>
    <s v="Customer 146"/>
    <x v="8"/>
    <x v="1"/>
    <x v="1"/>
    <n v="3"/>
    <n v="120000"/>
    <n v="0.05"/>
    <n v="342000"/>
    <n v="106786.55"/>
    <s v="Bank Transfer"/>
    <x v="5"/>
  </r>
  <r>
    <s v="ORD-0224"/>
    <x v="169"/>
    <s v="Customer 147"/>
    <x v="6"/>
    <x v="2"/>
    <x v="4"/>
    <n v="3"/>
    <n v="45000"/>
    <n v="0.1"/>
    <n v="121500"/>
    <n v="19435.57"/>
    <s v="Cash"/>
    <x v="6"/>
  </r>
  <r>
    <s v="ORD-0225"/>
    <x v="170"/>
    <s v="Customer 007"/>
    <x v="3"/>
    <x v="0"/>
    <x v="4"/>
    <n v="3"/>
    <n v="180000"/>
    <n v="0"/>
    <n v="540000"/>
    <n v="102956.18"/>
    <s v="Mobile Money"/>
    <x v="3"/>
  </r>
  <r>
    <s v="ORD-0226"/>
    <x v="171"/>
    <s v="Customer 067"/>
    <x v="2"/>
    <x v="1"/>
    <x v="2"/>
    <n v="5"/>
    <n v="210000"/>
    <n v="0"/>
    <n v="1050000"/>
    <n v="398286.31"/>
    <s v="Bank Transfer"/>
    <x v="6"/>
  </r>
  <r>
    <s v="ORD-0227"/>
    <x v="159"/>
    <s v="Customer 019"/>
    <x v="1"/>
    <x v="0"/>
    <x v="2"/>
    <n v="4"/>
    <n v="55000"/>
    <n v="0"/>
    <n v="220000"/>
    <n v="91715.34"/>
    <s v="Bank Transfer"/>
    <x v="7"/>
  </r>
  <r>
    <s v="ORD-0228"/>
    <x v="172"/>
    <s v="Customer 017"/>
    <x v="6"/>
    <x v="2"/>
    <x v="0"/>
    <n v="3"/>
    <n v="45000"/>
    <n v="0.2"/>
    <n v="108000"/>
    <n v="21086.35"/>
    <s v="Cash"/>
    <x v="4"/>
  </r>
  <r>
    <s v="ORD-0229"/>
    <x v="108"/>
    <s v="Customer 032"/>
    <x v="4"/>
    <x v="1"/>
    <x v="4"/>
    <n v="2"/>
    <n v="35000"/>
    <n v="0.05"/>
    <n v="66500"/>
    <n v="18384.52"/>
    <s v="Bank Transfer"/>
    <x v="11"/>
  </r>
  <r>
    <s v="ORD-0230"/>
    <x v="173"/>
    <s v="Customer 095"/>
    <x v="8"/>
    <x v="1"/>
    <x v="2"/>
    <n v="1"/>
    <n v="120000"/>
    <n v="0.05"/>
    <n v="114000"/>
    <n v="30049.71"/>
    <s v="Bank Transfer"/>
    <x v="8"/>
  </r>
  <r>
    <s v="ORD-0231"/>
    <x v="172"/>
    <s v="Customer 123"/>
    <x v="1"/>
    <x v="0"/>
    <x v="0"/>
    <n v="1"/>
    <n v="55000"/>
    <n v="0.05"/>
    <n v="52250"/>
    <n v="16087.32"/>
    <s v="Mobile Money"/>
    <x v="4"/>
  </r>
  <r>
    <s v="ORD-0232"/>
    <x v="174"/>
    <s v="Customer 019"/>
    <x v="3"/>
    <x v="0"/>
    <x v="2"/>
    <n v="1"/>
    <n v="180000"/>
    <n v="0"/>
    <n v="180000"/>
    <n v="33742.35"/>
    <s v="Mobile Money"/>
    <x v="9"/>
  </r>
  <r>
    <s v="ORD-0233"/>
    <x v="175"/>
    <s v="Customer 047"/>
    <x v="2"/>
    <x v="1"/>
    <x v="4"/>
    <n v="2"/>
    <n v="210000"/>
    <n v="0.15"/>
    <n v="357000"/>
    <n v="53447.37"/>
    <s v="Mobile Money"/>
    <x v="3"/>
  </r>
  <r>
    <s v="ORD-0234"/>
    <x v="176"/>
    <s v="Customer 043"/>
    <x v="2"/>
    <x v="1"/>
    <x v="4"/>
    <n v="1"/>
    <n v="210000"/>
    <n v="0.15"/>
    <n v="178500"/>
    <n v="54324.02"/>
    <s v="Cash"/>
    <x v="0"/>
  </r>
  <r>
    <s v="ORD-0235"/>
    <x v="177"/>
    <s v="Customer 065"/>
    <x v="8"/>
    <x v="1"/>
    <x v="4"/>
    <n v="5"/>
    <n v="120000"/>
    <n v="0.05"/>
    <n v="570000"/>
    <n v="102958.74"/>
    <s v="Cash"/>
    <x v="3"/>
  </r>
  <r>
    <s v="ORD-0236"/>
    <x v="90"/>
    <s v="Customer 129"/>
    <x v="7"/>
    <x v="0"/>
    <x v="4"/>
    <n v="3"/>
    <n v="85000"/>
    <n v="0.15"/>
    <n v="216750"/>
    <n v="39770.04"/>
    <s v="Bank Transfer"/>
    <x v="5"/>
  </r>
  <r>
    <s v="ORD-0237"/>
    <x v="20"/>
    <s v="Customer 087"/>
    <x v="7"/>
    <x v="0"/>
    <x v="0"/>
    <n v="5"/>
    <n v="85000"/>
    <n v="0.2"/>
    <n v="340000"/>
    <n v="2745.4"/>
    <s v="Card"/>
    <x v="10"/>
  </r>
  <r>
    <s v="ORD-0238"/>
    <x v="34"/>
    <s v="Customer 068"/>
    <x v="9"/>
    <x v="0"/>
    <x v="4"/>
    <n v="1"/>
    <n v="650000"/>
    <n v="0.2"/>
    <n v="520000"/>
    <n v="27185.57"/>
    <s v="Mobile Money"/>
    <x v="4"/>
  </r>
  <r>
    <s v="ORD-0239"/>
    <x v="9"/>
    <s v="Customer 140"/>
    <x v="1"/>
    <x v="0"/>
    <x v="3"/>
    <n v="1"/>
    <n v="55000"/>
    <n v="0.1"/>
    <n v="49500"/>
    <n v="6048.4"/>
    <s v="Cash"/>
    <x v="5"/>
  </r>
  <r>
    <s v="ORD-0240"/>
    <x v="178"/>
    <s v="Customer 016"/>
    <x v="6"/>
    <x v="2"/>
    <x v="4"/>
    <n v="4"/>
    <n v="45000"/>
    <n v="0.05"/>
    <n v="171000"/>
    <n v="49957.760000000002"/>
    <s v="Mobile Money"/>
    <x v="7"/>
  </r>
  <r>
    <s v="ORD-0241"/>
    <x v="179"/>
    <s v="Customer 037"/>
    <x v="3"/>
    <x v="0"/>
    <x v="3"/>
    <n v="4"/>
    <n v="180000"/>
    <n v="0"/>
    <n v="720000"/>
    <n v="257866.56"/>
    <s v="Cash"/>
    <x v="8"/>
  </r>
  <r>
    <s v="ORD-0242"/>
    <x v="180"/>
    <s v="Customer 028"/>
    <x v="5"/>
    <x v="2"/>
    <x v="3"/>
    <n v="2"/>
    <n v="12000"/>
    <n v="0.05"/>
    <n v="22800"/>
    <n v="6262.93"/>
    <s v="Bank Transfer"/>
    <x v="6"/>
  </r>
  <r>
    <s v="ORD-0243"/>
    <x v="181"/>
    <s v="Customer 025"/>
    <x v="6"/>
    <x v="2"/>
    <x v="1"/>
    <n v="3"/>
    <n v="45000"/>
    <n v="0.1"/>
    <n v="121500"/>
    <n v="38213.360000000001"/>
    <s v="Cash"/>
    <x v="11"/>
  </r>
  <r>
    <s v="ORD-0244"/>
    <x v="182"/>
    <s v="Customer 041"/>
    <x v="3"/>
    <x v="0"/>
    <x v="3"/>
    <n v="4"/>
    <n v="180000"/>
    <n v="0"/>
    <n v="720000"/>
    <n v="136853.87"/>
    <s v="Cash"/>
    <x v="5"/>
  </r>
  <r>
    <s v="ORD-0245"/>
    <x v="47"/>
    <s v="Customer 079"/>
    <x v="8"/>
    <x v="1"/>
    <x v="2"/>
    <n v="4"/>
    <n v="120000"/>
    <n v="0.15"/>
    <n v="408000"/>
    <n v="83500.759999999995"/>
    <s v="Card"/>
    <x v="11"/>
  </r>
  <r>
    <s v="ORD-0246"/>
    <x v="183"/>
    <s v="Customer 056"/>
    <x v="0"/>
    <x v="0"/>
    <x v="0"/>
    <n v="5"/>
    <n v="420000"/>
    <n v="0.1"/>
    <n v="1890000"/>
    <n v="186888.68"/>
    <s v="Cash"/>
    <x v="6"/>
  </r>
  <r>
    <s v="ORD-0247"/>
    <x v="33"/>
    <s v="Customer 121"/>
    <x v="9"/>
    <x v="0"/>
    <x v="3"/>
    <n v="3"/>
    <n v="650000"/>
    <n v="0.1"/>
    <n v="1755000"/>
    <n v="367906.37"/>
    <s v="Card"/>
    <x v="0"/>
  </r>
  <r>
    <s v="ORD-0248"/>
    <x v="53"/>
    <s v="Customer 104"/>
    <x v="0"/>
    <x v="0"/>
    <x v="3"/>
    <n v="2"/>
    <n v="420000"/>
    <n v="0.05"/>
    <n v="798000"/>
    <n v="171001.17"/>
    <s v="Card"/>
    <x v="1"/>
  </r>
  <r>
    <s v="ORD-0249"/>
    <x v="41"/>
    <s v="Customer 142"/>
    <x v="3"/>
    <x v="0"/>
    <x v="3"/>
    <n v="5"/>
    <n v="180000"/>
    <n v="0.15"/>
    <n v="765000"/>
    <n v="222698.76"/>
    <s v="Card"/>
    <x v="0"/>
  </r>
  <r>
    <s v="ORD-0250"/>
    <x v="184"/>
    <s v="Customer 031"/>
    <x v="3"/>
    <x v="0"/>
    <x v="4"/>
    <n v="4"/>
    <n v="180000"/>
    <n v="0.15"/>
    <n v="612000"/>
    <n v="161622.29999999999"/>
    <s v="Card"/>
    <x v="8"/>
  </r>
  <r>
    <s v="ORD-0251"/>
    <x v="17"/>
    <s v="Customer 037"/>
    <x v="3"/>
    <x v="0"/>
    <x v="4"/>
    <n v="3"/>
    <n v="180000"/>
    <n v="0.15"/>
    <n v="459000"/>
    <n v="25101.3"/>
    <s v="Mobile Money"/>
    <x v="6"/>
  </r>
  <r>
    <s v="ORD-0252"/>
    <x v="185"/>
    <s v="Customer 086"/>
    <x v="2"/>
    <x v="1"/>
    <x v="2"/>
    <n v="1"/>
    <n v="210000"/>
    <n v="0"/>
    <n v="210000"/>
    <n v="86730.04"/>
    <s v="Mobile Money"/>
    <x v="0"/>
  </r>
  <r>
    <s v="ORD-0253"/>
    <x v="186"/>
    <s v="Customer 082"/>
    <x v="7"/>
    <x v="0"/>
    <x v="4"/>
    <n v="5"/>
    <n v="85000"/>
    <n v="0"/>
    <n v="425000"/>
    <n v="153615.92000000001"/>
    <s v="Mobile Money"/>
    <x v="5"/>
  </r>
  <r>
    <s v="ORD-0254"/>
    <x v="39"/>
    <s v="Customer 131"/>
    <x v="1"/>
    <x v="0"/>
    <x v="0"/>
    <n v="5"/>
    <n v="55000"/>
    <n v="0.05"/>
    <n v="261250"/>
    <n v="72331.86"/>
    <s v="Mobile Money"/>
    <x v="3"/>
  </r>
  <r>
    <s v="ORD-0255"/>
    <x v="39"/>
    <s v="Customer 029"/>
    <x v="1"/>
    <x v="0"/>
    <x v="2"/>
    <n v="4"/>
    <n v="55000"/>
    <n v="0"/>
    <n v="220000"/>
    <n v="77119.55"/>
    <s v="Cash"/>
    <x v="3"/>
  </r>
  <r>
    <s v="ORD-0256"/>
    <x v="88"/>
    <s v="Customer 149"/>
    <x v="9"/>
    <x v="0"/>
    <x v="0"/>
    <n v="4"/>
    <n v="650000"/>
    <n v="0.05"/>
    <n v="2470000"/>
    <n v="361116.37"/>
    <s v="Bank Transfer"/>
    <x v="5"/>
  </r>
  <r>
    <s v="ORD-0257"/>
    <x v="187"/>
    <s v="Customer 098"/>
    <x v="9"/>
    <x v="0"/>
    <x v="4"/>
    <n v="4"/>
    <n v="650000"/>
    <n v="0"/>
    <n v="2600000"/>
    <n v="801988.9"/>
    <s v="Bank Transfer"/>
    <x v="9"/>
  </r>
  <r>
    <s v="ORD-0258"/>
    <x v="85"/>
    <s v="Customer 081"/>
    <x v="9"/>
    <x v="0"/>
    <x v="2"/>
    <n v="1"/>
    <n v="650000"/>
    <n v="0"/>
    <n v="650000"/>
    <n v="289176.49"/>
    <s v="Bank Transfer"/>
    <x v="9"/>
  </r>
  <r>
    <s v="ORD-0259"/>
    <x v="83"/>
    <s v="Customer 121"/>
    <x v="3"/>
    <x v="0"/>
    <x v="1"/>
    <n v="2"/>
    <n v="180000"/>
    <n v="0.1"/>
    <n v="324000"/>
    <n v="77223.14"/>
    <s v="Bank Transfer"/>
    <x v="10"/>
  </r>
  <r>
    <s v="ORD-0260"/>
    <x v="188"/>
    <s v="Customer 123"/>
    <x v="2"/>
    <x v="1"/>
    <x v="0"/>
    <n v="5"/>
    <n v="210000"/>
    <n v="0.05"/>
    <n v="997500"/>
    <n v="137032.17000000001"/>
    <s v="Mobile Money"/>
    <x v="2"/>
  </r>
  <r>
    <s v="ORD-0261"/>
    <x v="189"/>
    <s v="Customer 091"/>
    <x v="5"/>
    <x v="2"/>
    <x v="3"/>
    <n v="4"/>
    <n v="12000"/>
    <n v="0.15"/>
    <n v="40800"/>
    <n v="9963.44"/>
    <s v="Mobile Money"/>
    <x v="11"/>
  </r>
  <r>
    <s v="ORD-0262"/>
    <x v="22"/>
    <s v="Customer 077"/>
    <x v="8"/>
    <x v="1"/>
    <x v="3"/>
    <n v="3"/>
    <n v="120000"/>
    <n v="0.15"/>
    <n v="306000"/>
    <n v="78985.88"/>
    <s v="Bank Transfer"/>
    <x v="7"/>
  </r>
  <r>
    <s v="ORD-0263"/>
    <x v="190"/>
    <s v="Customer 071"/>
    <x v="6"/>
    <x v="2"/>
    <x v="3"/>
    <n v="4"/>
    <n v="45000"/>
    <n v="0.05"/>
    <n v="171000"/>
    <n v="44760.3"/>
    <s v="Card"/>
    <x v="3"/>
  </r>
  <r>
    <s v="ORD-0264"/>
    <x v="191"/>
    <s v="Customer 102"/>
    <x v="1"/>
    <x v="0"/>
    <x v="3"/>
    <n v="5"/>
    <n v="55000"/>
    <n v="0.1"/>
    <n v="247500"/>
    <n v="29739.79"/>
    <s v="Bank Transfer"/>
    <x v="10"/>
  </r>
  <r>
    <s v="ORD-0265"/>
    <x v="74"/>
    <s v="Customer 114"/>
    <x v="4"/>
    <x v="1"/>
    <x v="3"/>
    <n v="3"/>
    <n v="35000"/>
    <n v="0.2"/>
    <n v="84000"/>
    <n v="24009.52"/>
    <s v="Mobile Money"/>
    <x v="0"/>
  </r>
  <r>
    <s v="ORD-0266"/>
    <x v="192"/>
    <s v="Customer 070"/>
    <x v="8"/>
    <x v="1"/>
    <x v="4"/>
    <n v="5"/>
    <n v="120000"/>
    <n v="0.05"/>
    <n v="570000"/>
    <n v="88850.12"/>
    <s v="Card"/>
    <x v="2"/>
  </r>
  <r>
    <s v="ORD-0267"/>
    <x v="193"/>
    <s v="Customer 136"/>
    <x v="1"/>
    <x v="0"/>
    <x v="4"/>
    <n v="2"/>
    <n v="55000"/>
    <n v="0"/>
    <n v="110000"/>
    <n v="47992.27"/>
    <s v="Bank Transfer"/>
    <x v="9"/>
  </r>
  <r>
    <s v="ORD-0268"/>
    <x v="194"/>
    <s v="Customer 026"/>
    <x v="9"/>
    <x v="0"/>
    <x v="4"/>
    <n v="4"/>
    <n v="650000"/>
    <n v="0.05"/>
    <n v="2470000"/>
    <n v="536414.64"/>
    <s v="Card"/>
    <x v="4"/>
  </r>
  <r>
    <s v="ORD-0269"/>
    <x v="108"/>
    <s v="Customer 122"/>
    <x v="2"/>
    <x v="1"/>
    <x v="2"/>
    <n v="4"/>
    <n v="210000"/>
    <n v="0.2"/>
    <n v="672000"/>
    <n v="-2065.2800000000002"/>
    <s v="Bank Transfer"/>
    <x v="11"/>
  </r>
  <r>
    <s v="ORD-0270"/>
    <x v="195"/>
    <s v="Customer 023"/>
    <x v="4"/>
    <x v="1"/>
    <x v="0"/>
    <n v="3"/>
    <n v="35000"/>
    <n v="0.2"/>
    <n v="84000"/>
    <n v="24572.74"/>
    <s v="Bank Transfer"/>
    <x v="3"/>
  </r>
  <r>
    <s v="ORD-0271"/>
    <x v="196"/>
    <s v="Customer 046"/>
    <x v="2"/>
    <x v="1"/>
    <x v="1"/>
    <n v="2"/>
    <n v="210000"/>
    <n v="0.1"/>
    <n v="378000"/>
    <n v="46953.42"/>
    <s v="Mobile Money"/>
    <x v="0"/>
  </r>
  <r>
    <s v="ORD-0272"/>
    <x v="197"/>
    <s v="Customer 146"/>
    <x v="6"/>
    <x v="2"/>
    <x v="0"/>
    <n v="3"/>
    <n v="45000"/>
    <n v="0"/>
    <n v="135000"/>
    <n v="60412.21"/>
    <s v="Card"/>
    <x v="2"/>
  </r>
  <r>
    <s v="ORD-0273"/>
    <x v="38"/>
    <s v="Customer 127"/>
    <x v="5"/>
    <x v="2"/>
    <x v="4"/>
    <n v="4"/>
    <n v="12000"/>
    <n v="0.2"/>
    <n v="38400"/>
    <n v="4958.83"/>
    <s v="Mobile Money"/>
    <x v="7"/>
  </r>
  <r>
    <s v="ORD-0274"/>
    <x v="153"/>
    <s v="Customer 118"/>
    <x v="4"/>
    <x v="1"/>
    <x v="3"/>
    <n v="1"/>
    <n v="35000"/>
    <n v="0.05"/>
    <n v="33250"/>
    <n v="12464.43"/>
    <s v="Bank Transfer"/>
    <x v="2"/>
  </r>
  <r>
    <s v="ORD-0275"/>
    <x v="198"/>
    <s v="Customer 050"/>
    <x v="9"/>
    <x v="0"/>
    <x v="4"/>
    <n v="3"/>
    <n v="650000"/>
    <n v="0.15"/>
    <n v="1657500"/>
    <n v="229927.8"/>
    <s v="Mobile Money"/>
    <x v="3"/>
  </r>
  <r>
    <s v="ORD-0276"/>
    <x v="58"/>
    <s v="Customer 025"/>
    <x v="3"/>
    <x v="0"/>
    <x v="4"/>
    <n v="3"/>
    <n v="180000"/>
    <n v="0"/>
    <n v="540000"/>
    <n v="184558.51"/>
    <s v="Bank Transfer"/>
    <x v="8"/>
  </r>
  <r>
    <s v="ORD-0277"/>
    <x v="199"/>
    <s v="Customer 061"/>
    <x v="6"/>
    <x v="2"/>
    <x v="2"/>
    <n v="2"/>
    <n v="45000"/>
    <n v="0"/>
    <n v="90000"/>
    <n v="34162.92"/>
    <s v="Cash"/>
    <x v="3"/>
  </r>
  <r>
    <s v="ORD-0278"/>
    <x v="109"/>
    <s v="Customer 067"/>
    <x v="5"/>
    <x v="2"/>
    <x v="3"/>
    <n v="5"/>
    <n v="12000"/>
    <n v="0.2"/>
    <n v="48000"/>
    <n v="5719.39"/>
    <s v="Bank Transfer"/>
    <x v="3"/>
  </r>
  <r>
    <s v="ORD-0279"/>
    <x v="45"/>
    <s v="Customer 104"/>
    <x v="9"/>
    <x v="0"/>
    <x v="0"/>
    <n v="1"/>
    <n v="650000"/>
    <n v="0.1"/>
    <n v="585000"/>
    <n v="173655.49"/>
    <s v="Cash"/>
    <x v="10"/>
  </r>
  <r>
    <s v="ORD-0280"/>
    <x v="9"/>
    <s v="Customer 057"/>
    <x v="0"/>
    <x v="0"/>
    <x v="4"/>
    <n v="3"/>
    <n v="420000"/>
    <n v="0.05"/>
    <n v="1197000"/>
    <n v="294904.42"/>
    <s v="Mobile Money"/>
    <x v="5"/>
  </r>
  <r>
    <s v="ORD-0281"/>
    <x v="7"/>
    <s v="Customer 141"/>
    <x v="7"/>
    <x v="0"/>
    <x v="2"/>
    <n v="5"/>
    <n v="85000"/>
    <n v="0.05"/>
    <n v="403750"/>
    <n v="122281.72"/>
    <s v="Bank Transfer"/>
    <x v="1"/>
  </r>
  <r>
    <s v="ORD-0282"/>
    <x v="200"/>
    <s v="Customer 136"/>
    <x v="8"/>
    <x v="1"/>
    <x v="3"/>
    <n v="5"/>
    <n v="120000"/>
    <n v="0"/>
    <n v="600000"/>
    <n v="184867.92"/>
    <s v="Card"/>
    <x v="10"/>
  </r>
  <r>
    <s v="ORD-0283"/>
    <x v="201"/>
    <s v="Customer 052"/>
    <x v="1"/>
    <x v="0"/>
    <x v="0"/>
    <n v="1"/>
    <n v="55000"/>
    <n v="0.15"/>
    <n v="46750"/>
    <n v="3092.11"/>
    <s v="Bank Transfer"/>
    <x v="4"/>
  </r>
  <r>
    <s v="ORD-0284"/>
    <x v="69"/>
    <s v="Customer 053"/>
    <x v="7"/>
    <x v="0"/>
    <x v="0"/>
    <n v="5"/>
    <n v="85000"/>
    <n v="0.1"/>
    <n v="382500"/>
    <n v="135411.46"/>
    <s v="Mobile Money"/>
    <x v="3"/>
  </r>
  <r>
    <s v="ORD-0285"/>
    <x v="143"/>
    <s v="Customer 132"/>
    <x v="0"/>
    <x v="0"/>
    <x v="2"/>
    <n v="4"/>
    <n v="420000"/>
    <n v="0"/>
    <n v="1680000"/>
    <n v="550323.11"/>
    <s v="Mobile Money"/>
    <x v="8"/>
  </r>
  <r>
    <s v="ORD-0286"/>
    <x v="202"/>
    <s v="Customer 079"/>
    <x v="1"/>
    <x v="0"/>
    <x v="1"/>
    <n v="5"/>
    <n v="55000"/>
    <n v="0.1"/>
    <n v="247500"/>
    <n v="46297"/>
    <s v="Mobile Money"/>
    <x v="0"/>
  </r>
  <r>
    <s v="ORD-0287"/>
    <x v="203"/>
    <s v="Customer 109"/>
    <x v="4"/>
    <x v="1"/>
    <x v="3"/>
    <n v="2"/>
    <n v="35000"/>
    <n v="0.15"/>
    <n v="59500"/>
    <n v="19619.740000000002"/>
    <s v="Card"/>
    <x v="0"/>
  </r>
  <r>
    <s v="ORD-0288"/>
    <x v="130"/>
    <s v="Customer 105"/>
    <x v="2"/>
    <x v="1"/>
    <x v="4"/>
    <n v="1"/>
    <n v="210000"/>
    <n v="0.1"/>
    <n v="189000"/>
    <n v="71700.63"/>
    <s v="Bank Transfer"/>
    <x v="0"/>
  </r>
  <r>
    <s v="ORD-0289"/>
    <x v="17"/>
    <s v="Customer 097"/>
    <x v="3"/>
    <x v="0"/>
    <x v="2"/>
    <n v="4"/>
    <n v="180000"/>
    <n v="0.1"/>
    <n v="648000"/>
    <n v="82945.820000000007"/>
    <s v="Card"/>
    <x v="6"/>
  </r>
  <r>
    <s v="ORD-0290"/>
    <x v="204"/>
    <s v="Customer 138"/>
    <x v="2"/>
    <x v="1"/>
    <x v="2"/>
    <n v="3"/>
    <n v="210000"/>
    <n v="0"/>
    <n v="630000"/>
    <n v="253141.64"/>
    <s v="Bank Transfer"/>
    <x v="11"/>
  </r>
  <r>
    <s v="ORD-0291"/>
    <x v="203"/>
    <s v="Customer 140"/>
    <x v="8"/>
    <x v="1"/>
    <x v="2"/>
    <n v="1"/>
    <n v="120000"/>
    <n v="0.05"/>
    <n v="114000"/>
    <n v="32998.67"/>
    <s v="Mobile Money"/>
    <x v="0"/>
  </r>
  <r>
    <s v="ORD-0292"/>
    <x v="22"/>
    <s v="Customer 049"/>
    <x v="8"/>
    <x v="1"/>
    <x v="1"/>
    <n v="4"/>
    <n v="120000"/>
    <n v="0.05"/>
    <n v="456000"/>
    <n v="171896.27"/>
    <s v="Card"/>
    <x v="7"/>
  </r>
  <r>
    <s v="ORD-0293"/>
    <x v="205"/>
    <s v="Customer 026"/>
    <x v="3"/>
    <x v="0"/>
    <x v="0"/>
    <n v="1"/>
    <n v="180000"/>
    <n v="0"/>
    <n v="180000"/>
    <n v="70984.429999999993"/>
    <s v="Card"/>
    <x v="5"/>
  </r>
  <r>
    <s v="ORD-0294"/>
    <x v="206"/>
    <s v="Customer 103"/>
    <x v="6"/>
    <x v="2"/>
    <x v="2"/>
    <n v="1"/>
    <n v="45000"/>
    <n v="0"/>
    <n v="45000"/>
    <n v="11252.43"/>
    <s v="Bank Transfer"/>
    <x v="5"/>
  </r>
  <r>
    <s v="ORD-0295"/>
    <x v="207"/>
    <s v="Customer 075"/>
    <x v="2"/>
    <x v="1"/>
    <x v="4"/>
    <n v="1"/>
    <n v="210000"/>
    <n v="0"/>
    <n v="210000"/>
    <n v="65929.11"/>
    <s v="Cash"/>
    <x v="2"/>
  </r>
  <r>
    <s v="ORD-0296"/>
    <x v="206"/>
    <s v="Customer 037"/>
    <x v="1"/>
    <x v="0"/>
    <x v="0"/>
    <n v="3"/>
    <n v="55000"/>
    <n v="0"/>
    <n v="165000"/>
    <n v="60806.39"/>
    <s v="Bank Transfer"/>
    <x v="5"/>
  </r>
  <r>
    <s v="ORD-0297"/>
    <x v="39"/>
    <s v="Customer 045"/>
    <x v="3"/>
    <x v="0"/>
    <x v="2"/>
    <n v="3"/>
    <n v="180000"/>
    <n v="0"/>
    <n v="540000"/>
    <n v="161830.5"/>
    <s v="Mobile Money"/>
    <x v="3"/>
  </r>
  <r>
    <s v="ORD-0298"/>
    <x v="175"/>
    <s v="Customer 107"/>
    <x v="9"/>
    <x v="0"/>
    <x v="2"/>
    <n v="4"/>
    <n v="650000"/>
    <n v="0.15"/>
    <n v="2210000"/>
    <n v="556248.41"/>
    <s v="Bank Transfer"/>
    <x v="3"/>
  </r>
  <r>
    <s v="ORD-0299"/>
    <x v="208"/>
    <s v="Customer 058"/>
    <x v="4"/>
    <x v="1"/>
    <x v="3"/>
    <n v="2"/>
    <n v="35000"/>
    <n v="0.15"/>
    <n v="59500"/>
    <n v="12050.49"/>
    <s v="Bank Transfer"/>
    <x v="6"/>
  </r>
  <r>
    <s v="ORD-0300"/>
    <x v="202"/>
    <s v="Customer 143"/>
    <x v="6"/>
    <x v="2"/>
    <x v="0"/>
    <n v="5"/>
    <n v="45000"/>
    <n v="0.1"/>
    <n v="202500"/>
    <n v="19956.990000000002"/>
    <s v="Bank Transfer"/>
    <x v="0"/>
  </r>
  <r>
    <s v="ORD-0301"/>
    <x v="209"/>
    <s v="Customer 021"/>
    <x v="3"/>
    <x v="0"/>
    <x v="2"/>
    <n v="3"/>
    <n v="180000"/>
    <n v="0"/>
    <n v="540000"/>
    <n v="194847.66"/>
    <s v="Cash"/>
    <x v="7"/>
  </r>
  <r>
    <s v="ORD-0302"/>
    <x v="210"/>
    <s v="Customer 011"/>
    <x v="0"/>
    <x v="0"/>
    <x v="1"/>
    <n v="2"/>
    <n v="420000"/>
    <n v="0"/>
    <n v="840000"/>
    <n v="317112.90999999997"/>
    <s v="Bank Transfer"/>
    <x v="9"/>
  </r>
  <r>
    <s v="ORD-0303"/>
    <x v="211"/>
    <s v="Customer 086"/>
    <x v="10"/>
    <x v="0"/>
    <x v="3"/>
    <n v="5"/>
    <n v="55000"/>
    <n v="0"/>
    <n v="275000"/>
    <n v="88154.98"/>
    <s v="Card"/>
    <x v="10"/>
  </r>
  <r>
    <s v="ORD-0304"/>
    <x v="212"/>
    <s v="Customer 123"/>
    <x v="8"/>
    <x v="1"/>
    <x v="4"/>
    <n v="1"/>
    <n v="120000"/>
    <n v="0.2"/>
    <n v="96000"/>
    <n v="-2386.13"/>
    <s v="Bank Transfer"/>
    <x v="2"/>
  </r>
  <r>
    <s v="ORD-0305"/>
    <x v="213"/>
    <s v="Customer 098"/>
    <x v="3"/>
    <x v="0"/>
    <x v="2"/>
    <n v="5"/>
    <n v="180000"/>
    <n v="0.05"/>
    <n v="855000"/>
    <n v="171550.13"/>
    <s v="Cash"/>
    <x v="7"/>
  </r>
  <r>
    <s v="ORD-0306"/>
    <x v="214"/>
    <s v="Customer 120"/>
    <x v="4"/>
    <x v="1"/>
    <x v="1"/>
    <n v="3"/>
    <n v="35000"/>
    <n v="0.15"/>
    <n v="89250"/>
    <n v="6472.28"/>
    <s v="Mobile Money"/>
    <x v="7"/>
  </r>
  <r>
    <s v="ORD-0307"/>
    <x v="35"/>
    <s v="Customer 145"/>
    <x v="5"/>
    <x v="2"/>
    <x v="4"/>
    <n v="3"/>
    <n v="12000"/>
    <n v="0.05"/>
    <n v="34200"/>
    <n v="10376.6"/>
    <s v="Bank Transfer"/>
    <x v="2"/>
  </r>
  <r>
    <s v="ORD-0308"/>
    <x v="214"/>
    <s v="Customer 107"/>
    <x v="9"/>
    <x v="0"/>
    <x v="3"/>
    <n v="5"/>
    <n v="650000"/>
    <n v="0.15"/>
    <n v="2762500"/>
    <n v="466802.08"/>
    <s v="Bank Transfer"/>
    <x v="7"/>
  </r>
  <r>
    <s v="ORD-0309"/>
    <x v="121"/>
    <s v="Customer 063"/>
    <x v="8"/>
    <x v="1"/>
    <x v="2"/>
    <n v="2"/>
    <n v="120000"/>
    <n v="0.1"/>
    <n v="216000"/>
    <n v="47077.64"/>
    <s v="Cash"/>
    <x v="3"/>
  </r>
  <r>
    <s v="ORD-0310"/>
    <x v="79"/>
    <s v="Customer 091"/>
    <x v="4"/>
    <x v="1"/>
    <x v="4"/>
    <n v="4"/>
    <n v="35000"/>
    <n v="0.1"/>
    <n v="126000"/>
    <n v="42640.77"/>
    <s v="Bank Transfer"/>
    <x v="8"/>
  </r>
  <r>
    <s v="ORD-0311"/>
    <x v="79"/>
    <s v="Customer 016"/>
    <x v="2"/>
    <x v="1"/>
    <x v="0"/>
    <n v="2"/>
    <n v="210000"/>
    <n v="0.15"/>
    <n v="357000"/>
    <n v="13697.31"/>
    <s v="Card"/>
    <x v="8"/>
  </r>
  <r>
    <s v="ORD-0312"/>
    <x v="215"/>
    <s v="Customer 060"/>
    <x v="0"/>
    <x v="0"/>
    <x v="1"/>
    <n v="1"/>
    <n v="420000"/>
    <n v="0"/>
    <n v="420000"/>
    <n v="142234.72"/>
    <s v="Bank Transfer"/>
    <x v="10"/>
  </r>
  <r>
    <s v="ORD-0313"/>
    <x v="207"/>
    <s v="Customer 124"/>
    <x v="9"/>
    <x v="0"/>
    <x v="2"/>
    <n v="5"/>
    <n v="650000"/>
    <n v="0.1"/>
    <n v="2925000"/>
    <n v="810016.39"/>
    <s v="Card"/>
    <x v="2"/>
  </r>
  <r>
    <s v="ORD-0314"/>
    <x v="216"/>
    <s v="Customer 136"/>
    <x v="9"/>
    <x v="0"/>
    <x v="3"/>
    <n v="5"/>
    <n v="650000"/>
    <n v="0.1"/>
    <n v="2925000"/>
    <n v="1127100.78"/>
    <s v="Cash"/>
    <x v="8"/>
  </r>
  <r>
    <s v="ORD-0315"/>
    <x v="217"/>
    <s v="Customer 025"/>
    <x v="9"/>
    <x v="0"/>
    <x v="0"/>
    <n v="4"/>
    <n v="650000"/>
    <n v="0"/>
    <n v="2600000"/>
    <n v="1094874.47"/>
    <s v="Bank Transfer"/>
    <x v="8"/>
  </r>
  <r>
    <s v="ORD-0316"/>
    <x v="153"/>
    <s v="Customer 091"/>
    <x v="8"/>
    <x v="1"/>
    <x v="3"/>
    <n v="5"/>
    <n v="120000"/>
    <n v="0.15"/>
    <n v="510000"/>
    <n v="139108.25"/>
    <s v="Mobile Money"/>
    <x v="2"/>
  </r>
  <r>
    <s v="ORD-0317"/>
    <x v="17"/>
    <s v="Customer 058"/>
    <x v="0"/>
    <x v="0"/>
    <x v="3"/>
    <n v="4"/>
    <n v="420000"/>
    <n v="0.1"/>
    <n v="1512000"/>
    <n v="331715.01"/>
    <s v="Card"/>
    <x v="6"/>
  </r>
  <r>
    <s v="ORD-0318"/>
    <x v="218"/>
    <s v="Customer 122"/>
    <x v="9"/>
    <x v="0"/>
    <x v="1"/>
    <n v="4"/>
    <n v="650000"/>
    <n v="0.1"/>
    <n v="2340000"/>
    <n v="645226.96"/>
    <s v="Card"/>
    <x v="4"/>
  </r>
  <r>
    <s v="ORD-0319"/>
    <x v="219"/>
    <s v="Customer 085"/>
    <x v="7"/>
    <x v="0"/>
    <x v="0"/>
    <n v="4"/>
    <n v="85000"/>
    <n v="0.1"/>
    <n v="306000"/>
    <n v="59797.52"/>
    <s v="Card"/>
    <x v="4"/>
  </r>
  <r>
    <s v="ORD-0320"/>
    <x v="74"/>
    <s v="Customer 146"/>
    <x v="2"/>
    <x v="1"/>
    <x v="2"/>
    <n v="2"/>
    <n v="210000"/>
    <n v="0"/>
    <n v="420000"/>
    <n v="86795.65"/>
    <s v="Cash"/>
    <x v="0"/>
  </r>
  <r>
    <s v="ORD-0321"/>
    <x v="43"/>
    <s v="Customer 009"/>
    <x v="9"/>
    <x v="0"/>
    <x v="4"/>
    <n v="3"/>
    <n v="650000"/>
    <n v="0.15"/>
    <n v="1657500"/>
    <n v="288312.06"/>
    <s v="Cash"/>
    <x v="4"/>
  </r>
  <r>
    <s v="ORD-0322"/>
    <x v="188"/>
    <s v="Customer 102"/>
    <x v="9"/>
    <x v="0"/>
    <x v="1"/>
    <n v="5"/>
    <n v="650000"/>
    <n v="0"/>
    <n v="3250000"/>
    <n v="802396.7"/>
    <s v="Cash"/>
    <x v="2"/>
  </r>
  <r>
    <s v="ORD-0323"/>
    <x v="145"/>
    <s v="Customer 100"/>
    <x v="7"/>
    <x v="0"/>
    <x v="0"/>
    <n v="2"/>
    <n v="85000"/>
    <n v="0.15"/>
    <n v="144500"/>
    <n v="12689.54"/>
    <s v="Cash"/>
    <x v="9"/>
  </r>
  <r>
    <s v="ORD-0324"/>
    <x v="220"/>
    <s v="Customer 089"/>
    <x v="3"/>
    <x v="0"/>
    <x v="1"/>
    <n v="1"/>
    <n v="180000"/>
    <n v="0.15"/>
    <n v="153000"/>
    <n v="17770.810000000001"/>
    <s v="Card"/>
    <x v="11"/>
  </r>
  <r>
    <s v="ORD-0325"/>
    <x v="221"/>
    <s v="Customer 102"/>
    <x v="3"/>
    <x v="0"/>
    <x v="3"/>
    <n v="1"/>
    <n v="180000"/>
    <n v="0.05"/>
    <n v="171000"/>
    <n v="42588.800000000003"/>
    <s v="Card"/>
    <x v="2"/>
  </r>
  <r>
    <s v="ORD-0326"/>
    <x v="63"/>
    <s v="Customer 097"/>
    <x v="4"/>
    <x v="1"/>
    <x v="2"/>
    <n v="4"/>
    <n v="35000"/>
    <n v="0"/>
    <n v="140000"/>
    <n v="49550.34"/>
    <s v="Bank Transfer"/>
    <x v="1"/>
  </r>
  <r>
    <s v="ORD-0327"/>
    <x v="92"/>
    <s v="Customer 076"/>
    <x v="1"/>
    <x v="0"/>
    <x v="4"/>
    <n v="4"/>
    <n v="55000"/>
    <n v="0"/>
    <n v="220000"/>
    <n v="53133.26"/>
    <s v="Card"/>
    <x v="10"/>
  </r>
  <r>
    <s v="ORD-0328"/>
    <x v="222"/>
    <s v="Customer 040"/>
    <x v="0"/>
    <x v="0"/>
    <x v="2"/>
    <n v="2"/>
    <n v="420000"/>
    <n v="0.1"/>
    <n v="756000"/>
    <n v="132591.62"/>
    <s v="Cash"/>
    <x v="7"/>
  </r>
  <r>
    <s v="ORD-0329"/>
    <x v="141"/>
    <s v="Customer 114"/>
    <x v="5"/>
    <x v="2"/>
    <x v="3"/>
    <n v="1"/>
    <n v="12000"/>
    <n v="0"/>
    <n v="12000"/>
    <n v="2344.81"/>
    <s v="Cash"/>
    <x v="4"/>
  </r>
  <r>
    <s v="ORD-0330"/>
    <x v="115"/>
    <s v="Customer 143"/>
    <x v="0"/>
    <x v="0"/>
    <x v="0"/>
    <n v="1"/>
    <n v="420000"/>
    <n v="0"/>
    <n v="420000"/>
    <n v="140126.92000000001"/>
    <s v="Mobile Money"/>
    <x v="11"/>
  </r>
  <r>
    <s v="ORD-0331"/>
    <x v="223"/>
    <s v="Customer 084"/>
    <x v="0"/>
    <x v="0"/>
    <x v="2"/>
    <n v="1"/>
    <n v="420000"/>
    <n v="0.05"/>
    <n v="399000"/>
    <n v="105151.47"/>
    <s v="Card"/>
    <x v="0"/>
  </r>
  <r>
    <s v="ORD-0332"/>
    <x v="224"/>
    <s v="Customer 144"/>
    <x v="4"/>
    <x v="1"/>
    <x v="4"/>
    <n v="4"/>
    <n v="35000"/>
    <n v="0"/>
    <n v="140000"/>
    <n v="35600.9"/>
    <s v="Bank Transfer"/>
    <x v="6"/>
  </r>
  <r>
    <s v="ORD-0333"/>
    <x v="225"/>
    <s v="Customer 127"/>
    <x v="3"/>
    <x v="0"/>
    <x v="4"/>
    <n v="2"/>
    <n v="180000"/>
    <n v="0.05"/>
    <n v="342000"/>
    <n v="114730.04"/>
    <s v="Card"/>
    <x v="11"/>
  </r>
  <r>
    <s v="ORD-0334"/>
    <x v="51"/>
    <s v="Customer 020"/>
    <x v="7"/>
    <x v="0"/>
    <x v="3"/>
    <n v="3"/>
    <n v="85000"/>
    <n v="0.1"/>
    <n v="229500"/>
    <n v="68612.06"/>
    <s v="Cash"/>
    <x v="1"/>
  </r>
  <r>
    <s v="ORD-0335"/>
    <x v="90"/>
    <s v="Customer 118"/>
    <x v="8"/>
    <x v="1"/>
    <x v="1"/>
    <n v="4"/>
    <n v="120000"/>
    <n v="0.15"/>
    <n v="408000"/>
    <n v="64079.72"/>
    <s v="Bank Transfer"/>
    <x v="5"/>
  </r>
  <r>
    <s v="ORD-0336"/>
    <x v="137"/>
    <s v="Customer 098"/>
    <x v="4"/>
    <x v="1"/>
    <x v="3"/>
    <n v="4"/>
    <n v="35000"/>
    <n v="0.05"/>
    <n v="133000"/>
    <n v="24187.01"/>
    <s v="Mobile Money"/>
    <x v="0"/>
  </r>
  <r>
    <s v="ORD-0337"/>
    <x v="53"/>
    <s v="Customer 052"/>
    <x v="5"/>
    <x v="2"/>
    <x v="2"/>
    <n v="5"/>
    <n v="12000"/>
    <n v="0"/>
    <n v="60000"/>
    <n v="22132.95"/>
    <s v="Cash"/>
    <x v="1"/>
  </r>
  <r>
    <s v="ORD-0338"/>
    <x v="226"/>
    <s v="Customer 126"/>
    <x v="7"/>
    <x v="0"/>
    <x v="0"/>
    <n v="3"/>
    <n v="85000"/>
    <n v="0.05"/>
    <n v="242250"/>
    <n v="51403.9"/>
    <s v="Bank Transfer"/>
    <x v="6"/>
  </r>
  <r>
    <s v="ORD-0339"/>
    <x v="208"/>
    <s v="Customer 145"/>
    <x v="5"/>
    <x v="2"/>
    <x v="4"/>
    <n v="3"/>
    <n v="12000"/>
    <n v="0.1"/>
    <n v="32400"/>
    <n v="9052.0499999999993"/>
    <s v="Bank Transfer"/>
    <x v="6"/>
  </r>
  <r>
    <s v="ORD-0340"/>
    <x v="223"/>
    <s v="Customer 075"/>
    <x v="2"/>
    <x v="1"/>
    <x v="1"/>
    <n v="4"/>
    <n v="210000"/>
    <n v="0.2"/>
    <n v="672000"/>
    <n v="162451.74"/>
    <s v="Mobile Money"/>
    <x v="0"/>
  </r>
  <r>
    <s v="ORD-0341"/>
    <x v="220"/>
    <s v="Customer 040"/>
    <x v="6"/>
    <x v="2"/>
    <x v="2"/>
    <n v="3"/>
    <n v="45000"/>
    <n v="0"/>
    <n v="135000"/>
    <n v="51539.75"/>
    <s v="Mobile Money"/>
    <x v="11"/>
  </r>
  <r>
    <s v="ORD-0342"/>
    <x v="227"/>
    <s v="Customer 137"/>
    <x v="0"/>
    <x v="0"/>
    <x v="0"/>
    <n v="5"/>
    <n v="420000"/>
    <n v="0.1"/>
    <n v="1890000"/>
    <n v="404867.64"/>
    <s v="Mobile Money"/>
    <x v="1"/>
  </r>
  <r>
    <s v="ORD-0343"/>
    <x v="104"/>
    <s v="Customer 138"/>
    <x v="2"/>
    <x v="1"/>
    <x v="0"/>
    <n v="3"/>
    <n v="210000"/>
    <n v="0.2"/>
    <n v="504000"/>
    <n v="5175.1899999999996"/>
    <s v="Card"/>
    <x v="0"/>
  </r>
  <r>
    <s v="ORD-0344"/>
    <x v="228"/>
    <s v="Customer 012"/>
    <x v="0"/>
    <x v="0"/>
    <x v="0"/>
    <n v="3"/>
    <n v="420000"/>
    <n v="0"/>
    <n v="1260000"/>
    <n v="346890.65"/>
    <s v="Mobile Money"/>
    <x v="7"/>
  </r>
  <r>
    <s v="ORD-0345"/>
    <x v="53"/>
    <s v="Customer 057"/>
    <x v="5"/>
    <x v="2"/>
    <x v="0"/>
    <n v="1"/>
    <n v="12000"/>
    <n v="0"/>
    <n v="12000"/>
    <n v="5080.51"/>
    <s v="Bank Transfer"/>
    <x v="1"/>
  </r>
  <r>
    <s v="ORD-0346"/>
    <x v="17"/>
    <s v="Customer 129"/>
    <x v="6"/>
    <x v="2"/>
    <x v="4"/>
    <n v="4"/>
    <n v="45000"/>
    <n v="0.1"/>
    <n v="162000"/>
    <n v="25464.17"/>
    <s v="Cash"/>
    <x v="6"/>
  </r>
  <r>
    <s v="ORD-0347"/>
    <x v="179"/>
    <s v="Customer 022"/>
    <x v="9"/>
    <x v="0"/>
    <x v="1"/>
    <n v="1"/>
    <n v="650000"/>
    <n v="0.05"/>
    <n v="617500"/>
    <n v="186996.31"/>
    <s v="Bank Transfer"/>
    <x v="8"/>
  </r>
  <r>
    <s v="ORD-0348"/>
    <x v="229"/>
    <s v="Customer 134"/>
    <x v="5"/>
    <x v="2"/>
    <x v="2"/>
    <n v="3"/>
    <n v="12000"/>
    <n v="0.1"/>
    <n v="32400"/>
    <n v="4976.8999999999996"/>
    <s v="Cash"/>
    <x v="3"/>
  </r>
  <r>
    <s v="ORD-0349"/>
    <x v="4"/>
    <s v="Customer 082"/>
    <x v="6"/>
    <x v="2"/>
    <x v="1"/>
    <n v="4"/>
    <n v="45000"/>
    <n v="0.2"/>
    <n v="144000"/>
    <n v="11137.31"/>
    <s v="Cash"/>
    <x v="4"/>
  </r>
  <r>
    <s v="ORD-0350"/>
    <x v="230"/>
    <s v="Customer 028"/>
    <x v="9"/>
    <x v="0"/>
    <x v="4"/>
    <n v="1"/>
    <n v="650000"/>
    <n v="0"/>
    <n v="650000"/>
    <n v="143468.91"/>
    <s v="Bank Transfer"/>
    <x v="10"/>
  </r>
  <r>
    <s v="ORD-0351"/>
    <x v="123"/>
    <s v="Customer 110"/>
    <x v="2"/>
    <x v="1"/>
    <x v="2"/>
    <n v="5"/>
    <n v="210000"/>
    <n v="0"/>
    <n v="1050000"/>
    <n v="378664.43"/>
    <s v="Bank Transfer"/>
    <x v="11"/>
  </r>
  <r>
    <s v="ORD-0352"/>
    <x v="231"/>
    <s v="Customer 111"/>
    <x v="3"/>
    <x v="0"/>
    <x v="2"/>
    <n v="2"/>
    <n v="180000"/>
    <n v="0"/>
    <n v="360000"/>
    <n v="99745.45"/>
    <s v="Card"/>
    <x v="5"/>
  </r>
  <r>
    <s v="ORD-0353"/>
    <x v="2"/>
    <s v="Customer 002"/>
    <x v="1"/>
    <x v="0"/>
    <x v="4"/>
    <n v="4"/>
    <n v="55000"/>
    <n v="0.15"/>
    <n v="187000"/>
    <n v="40484.559999999998"/>
    <s v="Bank Transfer"/>
    <x v="2"/>
  </r>
  <r>
    <s v="ORD-0354"/>
    <x v="232"/>
    <s v="Customer 138"/>
    <x v="4"/>
    <x v="1"/>
    <x v="4"/>
    <n v="1"/>
    <n v="35000"/>
    <n v="0.15"/>
    <n v="29750"/>
    <n v="9538.44"/>
    <s v="Cash"/>
    <x v="10"/>
  </r>
  <r>
    <s v="ORD-0355"/>
    <x v="233"/>
    <s v="Customer 126"/>
    <x v="5"/>
    <x v="2"/>
    <x v="0"/>
    <n v="4"/>
    <n v="12000"/>
    <n v="0"/>
    <n v="48000"/>
    <n v="18199.900000000001"/>
    <s v="Cash"/>
    <x v="2"/>
  </r>
  <r>
    <s v="ORD-0356"/>
    <x v="171"/>
    <s v="Customer 090"/>
    <x v="1"/>
    <x v="0"/>
    <x v="3"/>
    <n v="5"/>
    <n v="55000"/>
    <n v="0.1"/>
    <n v="247500"/>
    <n v="52664.9"/>
    <s v="Mobile Money"/>
    <x v="6"/>
  </r>
  <r>
    <s v="ORD-0357"/>
    <x v="189"/>
    <s v="Customer 035"/>
    <x v="1"/>
    <x v="0"/>
    <x v="3"/>
    <n v="3"/>
    <n v="55000"/>
    <n v="0.15"/>
    <n v="140250"/>
    <n v="23208"/>
    <s v="Card"/>
    <x v="11"/>
  </r>
  <r>
    <s v="ORD-0358"/>
    <x v="234"/>
    <s v="Customer 037"/>
    <x v="8"/>
    <x v="1"/>
    <x v="0"/>
    <n v="1"/>
    <n v="120000"/>
    <n v="0"/>
    <n v="120000"/>
    <n v="41904.879999999997"/>
    <s v="Mobile Money"/>
    <x v="3"/>
  </r>
  <r>
    <s v="ORD-0359"/>
    <x v="88"/>
    <s v="Customer 048"/>
    <x v="3"/>
    <x v="0"/>
    <x v="2"/>
    <n v="2"/>
    <n v="180000"/>
    <n v="0.15"/>
    <n v="306000"/>
    <n v="70703.39"/>
    <s v="Bank Transfer"/>
    <x v="5"/>
  </r>
  <r>
    <s v="ORD-0360"/>
    <x v="71"/>
    <s v="Customer 081"/>
    <x v="2"/>
    <x v="1"/>
    <x v="2"/>
    <n v="4"/>
    <n v="210000"/>
    <n v="0.05"/>
    <n v="798000"/>
    <n v="304180.75"/>
    <s v="Card"/>
    <x v="11"/>
  </r>
  <r>
    <s v="ORD-0361"/>
    <x v="111"/>
    <s v="Customer 099"/>
    <x v="5"/>
    <x v="2"/>
    <x v="0"/>
    <n v="4"/>
    <n v="12000"/>
    <n v="0"/>
    <n v="48000"/>
    <n v="19071.13"/>
    <s v="Mobile Money"/>
    <x v="0"/>
  </r>
  <r>
    <s v="ORD-0362"/>
    <x v="235"/>
    <s v="Customer 114"/>
    <x v="3"/>
    <x v="0"/>
    <x v="2"/>
    <n v="4"/>
    <n v="180000"/>
    <n v="0.1"/>
    <n v="648000"/>
    <n v="113948.32"/>
    <s v="Bank Transfer"/>
    <x v="10"/>
  </r>
  <r>
    <s v="ORD-0363"/>
    <x v="236"/>
    <s v="Customer 071"/>
    <x v="0"/>
    <x v="0"/>
    <x v="4"/>
    <n v="1"/>
    <n v="420000"/>
    <n v="0"/>
    <n v="420000"/>
    <n v="155877"/>
    <s v="Cash"/>
    <x v="9"/>
  </r>
  <r>
    <s v="ORD-0364"/>
    <x v="237"/>
    <s v="Customer 127"/>
    <x v="7"/>
    <x v="0"/>
    <x v="0"/>
    <n v="5"/>
    <n v="85000"/>
    <n v="0.2"/>
    <n v="340000"/>
    <n v="17600.16"/>
    <s v="Card"/>
    <x v="1"/>
  </r>
  <r>
    <s v="ORD-0365"/>
    <x v="238"/>
    <s v="Customer 094"/>
    <x v="1"/>
    <x v="0"/>
    <x v="0"/>
    <n v="3"/>
    <n v="55000"/>
    <n v="0.15"/>
    <n v="140250"/>
    <n v="12822.75"/>
    <s v="Card"/>
    <x v="4"/>
  </r>
  <r>
    <s v="ORD-0366"/>
    <x v="239"/>
    <s v="Customer 064"/>
    <x v="6"/>
    <x v="2"/>
    <x v="3"/>
    <n v="2"/>
    <n v="45000"/>
    <n v="0.1"/>
    <n v="81000"/>
    <n v="29011.279999999999"/>
    <s v="Card"/>
    <x v="9"/>
  </r>
  <r>
    <s v="ORD-0367"/>
    <x v="240"/>
    <s v="Customer 031"/>
    <x v="6"/>
    <x v="2"/>
    <x v="4"/>
    <n v="3"/>
    <n v="45000"/>
    <n v="0"/>
    <n v="135000"/>
    <n v="44745.9"/>
    <s v="Bank Transfer"/>
    <x v="7"/>
  </r>
  <r>
    <s v="ORD-0368"/>
    <x v="241"/>
    <s v="Customer 110"/>
    <x v="1"/>
    <x v="0"/>
    <x v="4"/>
    <n v="3"/>
    <n v="55000"/>
    <n v="0.2"/>
    <n v="132000"/>
    <n v="14062.84"/>
    <s v="Bank Transfer"/>
    <x v="10"/>
  </r>
  <r>
    <s v="ORD-0369"/>
    <x v="242"/>
    <s v="Customer 072"/>
    <x v="8"/>
    <x v="1"/>
    <x v="0"/>
    <n v="1"/>
    <n v="120000"/>
    <n v="0.15"/>
    <n v="102000"/>
    <n v="24633.58"/>
    <s v="Bank Transfer"/>
    <x v="2"/>
  </r>
  <r>
    <s v="ORD-0370"/>
    <x v="232"/>
    <s v="Customer 132"/>
    <x v="5"/>
    <x v="2"/>
    <x v="1"/>
    <n v="3"/>
    <n v="12000"/>
    <n v="0.05"/>
    <n v="34200"/>
    <n v="8833.01"/>
    <s v="Bank Transfer"/>
    <x v="10"/>
  </r>
  <r>
    <s v="ORD-0371"/>
    <x v="130"/>
    <s v="Customer 034"/>
    <x v="3"/>
    <x v="0"/>
    <x v="4"/>
    <n v="3"/>
    <n v="180000"/>
    <n v="0.2"/>
    <n v="432000"/>
    <n v="116499.71"/>
    <s v="Bank Transfer"/>
    <x v="0"/>
  </r>
  <r>
    <s v="ORD-0372"/>
    <x v="22"/>
    <s v="Customer 069"/>
    <x v="5"/>
    <x v="2"/>
    <x v="2"/>
    <n v="4"/>
    <n v="12000"/>
    <n v="0.1"/>
    <n v="43200"/>
    <n v="14957.46"/>
    <s v="Mobile Money"/>
    <x v="7"/>
  </r>
  <r>
    <s v="ORD-0373"/>
    <x v="43"/>
    <s v="Customer 072"/>
    <x v="6"/>
    <x v="2"/>
    <x v="3"/>
    <n v="1"/>
    <n v="45000"/>
    <n v="0.1"/>
    <n v="40500"/>
    <n v="9485.2999999999993"/>
    <s v="Mobile Money"/>
    <x v="4"/>
  </r>
  <r>
    <s v="ORD-0374"/>
    <x v="69"/>
    <s v="Customer 024"/>
    <x v="6"/>
    <x v="2"/>
    <x v="2"/>
    <n v="5"/>
    <n v="45000"/>
    <n v="0"/>
    <n v="225000"/>
    <n v="48463.85"/>
    <s v="Cash"/>
    <x v="3"/>
  </r>
  <r>
    <s v="ORD-0375"/>
    <x v="243"/>
    <s v="Customer 055"/>
    <x v="0"/>
    <x v="0"/>
    <x v="2"/>
    <n v="4"/>
    <n v="420000"/>
    <n v="0"/>
    <n v="1680000"/>
    <n v="316856.88"/>
    <s v="Cash"/>
    <x v="9"/>
  </r>
  <r>
    <s v="ORD-0376"/>
    <x v="38"/>
    <s v="Customer 145"/>
    <x v="5"/>
    <x v="2"/>
    <x v="2"/>
    <n v="3"/>
    <n v="12000"/>
    <n v="0.15"/>
    <n v="30600"/>
    <n v="5182.49"/>
    <s v="Cash"/>
    <x v="7"/>
  </r>
  <r>
    <s v="ORD-0377"/>
    <x v="6"/>
    <s v="Customer 118"/>
    <x v="9"/>
    <x v="0"/>
    <x v="1"/>
    <n v="1"/>
    <n v="650000"/>
    <n v="0.2"/>
    <n v="520000"/>
    <n v="24927.35"/>
    <s v="Card"/>
    <x v="0"/>
  </r>
  <r>
    <s v="ORD-0378"/>
    <x v="156"/>
    <s v="Customer 110"/>
    <x v="7"/>
    <x v="0"/>
    <x v="4"/>
    <n v="4"/>
    <n v="85000"/>
    <n v="0"/>
    <n v="340000"/>
    <n v="61949.25"/>
    <s v="Bank Transfer"/>
    <x v="1"/>
  </r>
  <r>
    <s v="ORD-0379"/>
    <x v="47"/>
    <s v="Customer 065"/>
    <x v="4"/>
    <x v="1"/>
    <x v="1"/>
    <n v="3"/>
    <n v="35000"/>
    <n v="0"/>
    <n v="105000"/>
    <n v="28692.43"/>
    <s v="Cash"/>
    <x v="11"/>
  </r>
  <r>
    <s v="ORD-0380"/>
    <x v="41"/>
    <s v="Customer 060"/>
    <x v="7"/>
    <x v="0"/>
    <x v="2"/>
    <n v="4"/>
    <n v="85000"/>
    <n v="0.2"/>
    <n v="272000"/>
    <n v="56954.25"/>
    <s v="Card"/>
    <x v="0"/>
  </r>
  <r>
    <s v="ORD-0381"/>
    <x v="244"/>
    <s v="Customer 058"/>
    <x v="0"/>
    <x v="0"/>
    <x v="0"/>
    <n v="2"/>
    <n v="420000"/>
    <n v="0.1"/>
    <n v="756000"/>
    <n v="276323.5"/>
    <s v="Mobile Money"/>
    <x v="0"/>
  </r>
  <r>
    <s v="ORD-0382"/>
    <x v="111"/>
    <s v="Customer 109"/>
    <x v="9"/>
    <x v="0"/>
    <x v="4"/>
    <n v="3"/>
    <n v="650000"/>
    <n v="0"/>
    <n v="1950000"/>
    <n v="357236.44"/>
    <s v="Mobile Money"/>
    <x v="0"/>
  </r>
  <r>
    <s v="ORD-0383"/>
    <x v="112"/>
    <s v="Customer 027"/>
    <x v="0"/>
    <x v="0"/>
    <x v="1"/>
    <n v="4"/>
    <n v="420000"/>
    <n v="0"/>
    <n v="1680000"/>
    <n v="424525.73"/>
    <s v="Cash"/>
    <x v="2"/>
  </r>
  <r>
    <s v="ORD-0384"/>
    <x v="39"/>
    <s v="Customer 035"/>
    <x v="5"/>
    <x v="2"/>
    <x v="4"/>
    <n v="2"/>
    <n v="12000"/>
    <n v="0.1"/>
    <n v="21600"/>
    <n v="3387.98"/>
    <s v="Card"/>
    <x v="3"/>
  </r>
  <r>
    <s v="ORD-0385"/>
    <x v="145"/>
    <s v="Customer 113"/>
    <x v="2"/>
    <x v="1"/>
    <x v="3"/>
    <n v="1"/>
    <n v="210000"/>
    <n v="0.15"/>
    <n v="178500"/>
    <n v="26143.85"/>
    <s v="Bank Transfer"/>
    <x v="9"/>
  </r>
  <r>
    <s v="ORD-0386"/>
    <x v="103"/>
    <s v="Customer 056"/>
    <x v="7"/>
    <x v="0"/>
    <x v="1"/>
    <n v="5"/>
    <n v="85000"/>
    <n v="0.2"/>
    <n v="340000"/>
    <n v="55486.45"/>
    <s v="Card"/>
    <x v="6"/>
  </r>
  <r>
    <s v="ORD-0387"/>
    <x v="245"/>
    <s v="Customer 110"/>
    <x v="7"/>
    <x v="0"/>
    <x v="3"/>
    <n v="5"/>
    <n v="85000"/>
    <n v="0.2"/>
    <n v="340000"/>
    <n v="62182.34"/>
    <s v="Bank Transfer"/>
    <x v="11"/>
  </r>
  <r>
    <s v="ORD-0388"/>
    <x v="246"/>
    <s v="Customer 073"/>
    <x v="8"/>
    <x v="1"/>
    <x v="1"/>
    <n v="1"/>
    <n v="120000"/>
    <n v="0"/>
    <n v="120000"/>
    <n v="36069.949999999997"/>
    <s v="Cash"/>
    <x v="7"/>
  </r>
  <r>
    <s v="ORD-0389"/>
    <x v="247"/>
    <s v="Customer 101"/>
    <x v="8"/>
    <x v="1"/>
    <x v="3"/>
    <n v="5"/>
    <n v="120000"/>
    <n v="0.15"/>
    <n v="510000"/>
    <n v="149439.26"/>
    <s v="Card"/>
    <x v="8"/>
  </r>
  <r>
    <s v="ORD-0390"/>
    <x v="248"/>
    <s v="Customer 019"/>
    <x v="8"/>
    <x v="1"/>
    <x v="0"/>
    <n v="4"/>
    <n v="120000"/>
    <n v="0"/>
    <n v="480000"/>
    <n v="184755.8"/>
    <s v="Card"/>
    <x v="8"/>
  </r>
  <r>
    <s v="ORD-0391"/>
    <x v="190"/>
    <s v="Customer 146"/>
    <x v="5"/>
    <x v="2"/>
    <x v="2"/>
    <n v="2"/>
    <n v="12000"/>
    <n v="0.1"/>
    <n v="21600"/>
    <n v="2821.93"/>
    <s v="Cash"/>
    <x v="3"/>
  </r>
  <r>
    <s v="ORD-0392"/>
    <x v="249"/>
    <s v="Customer 019"/>
    <x v="2"/>
    <x v="1"/>
    <x v="1"/>
    <n v="2"/>
    <n v="210000"/>
    <n v="0.1"/>
    <n v="378000"/>
    <n v="38765.03"/>
    <s v="Card"/>
    <x v="10"/>
  </r>
  <r>
    <s v="ORD-0393"/>
    <x v="240"/>
    <s v="Customer 102"/>
    <x v="9"/>
    <x v="0"/>
    <x v="0"/>
    <n v="2"/>
    <n v="650000"/>
    <n v="0"/>
    <n v="1300000"/>
    <n v="261174.67"/>
    <s v="Cash"/>
    <x v="7"/>
  </r>
  <r>
    <s v="ORD-0394"/>
    <x v="60"/>
    <s v="Customer 138"/>
    <x v="2"/>
    <x v="1"/>
    <x v="0"/>
    <n v="4"/>
    <n v="210000"/>
    <n v="0.2"/>
    <n v="672000"/>
    <n v="118763.48"/>
    <s v="Bank Transfer"/>
    <x v="1"/>
  </r>
  <r>
    <s v="ORD-0395"/>
    <x v="219"/>
    <s v="Customer 053"/>
    <x v="4"/>
    <x v="1"/>
    <x v="4"/>
    <n v="3"/>
    <n v="35000"/>
    <n v="0"/>
    <n v="105000"/>
    <n v="32754.51"/>
    <s v="Cash"/>
    <x v="4"/>
  </r>
  <r>
    <s v="ORD-0396"/>
    <x v="193"/>
    <s v="Customer 062"/>
    <x v="3"/>
    <x v="0"/>
    <x v="1"/>
    <n v="1"/>
    <n v="180000"/>
    <n v="0.05"/>
    <n v="171000"/>
    <n v="38044.35"/>
    <s v="Bank Transfer"/>
    <x v="9"/>
  </r>
  <r>
    <s v="ORD-0397"/>
    <x v="51"/>
    <s v="Customer 015"/>
    <x v="0"/>
    <x v="0"/>
    <x v="3"/>
    <n v="1"/>
    <n v="420000"/>
    <n v="0.1"/>
    <n v="378000"/>
    <n v="77565.539999999994"/>
    <s v="Bank Transfer"/>
    <x v="1"/>
  </r>
  <r>
    <s v="ORD-0398"/>
    <x v="250"/>
    <s v="Customer 128"/>
    <x v="0"/>
    <x v="0"/>
    <x v="3"/>
    <n v="2"/>
    <n v="420000"/>
    <n v="0.2"/>
    <n v="672000"/>
    <n v="207425.68"/>
    <s v="Cash"/>
    <x v="0"/>
  </r>
  <r>
    <s v="ORD-0399"/>
    <x v="251"/>
    <s v="Customer 069"/>
    <x v="7"/>
    <x v="0"/>
    <x v="1"/>
    <n v="2"/>
    <n v="85000"/>
    <n v="0.2"/>
    <n v="136000"/>
    <n v="6646.41"/>
    <s v="Card"/>
    <x v="6"/>
  </r>
  <r>
    <s v="ORD-0400"/>
    <x v="12"/>
    <s v="Customer 148"/>
    <x v="5"/>
    <x v="2"/>
    <x v="1"/>
    <n v="3"/>
    <n v="12000"/>
    <n v="0.15"/>
    <n v="30600"/>
    <n v="10179.16"/>
    <s v="Mobile Money"/>
    <x v="1"/>
  </r>
  <r>
    <s v="ORD-0401"/>
    <x v="143"/>
    <s v="Customer 146"/>
    <x v="6"/>
    <x v="2"/>
    <x v="4"/>
    <n v="3"/>
    <n v="45000"/>
    <n v="0"/>
    <n v="135000"/>
    <n v="42539.22"/>
    <s v="Cash"/>
    <x v="8"/>
  </r>
  <r>
    <s v="ORD-0401"/>
    <x v="252"/>
    <s v="Customer 030"/>
    <x v="7"/>
    <x v="0"/>
    <x v="4"/>
    <n v="1"/>
    <n v="85000"/>
    <n v="0.15"/>
    <n v="72250"/>
    <n v="10028.94"/>
    <s v="Card"/>
    <x v="7"/>
  </r>
  <r>
    <s v="ORD-0403"/>
    <x v="250"/>
    <s v="Customer 099"/>
    <x v="9"/>
    <x v="0"/>
    <x v="4"/>
    <n v="2"/>
    <n v="650000"/>
    <n v="0"/>
    <n v="1300000"/>
    <n v="419410.63"/>
    <s v="Bank Transfer"/>
    <x v="0"/>
  </r>
  <r>
    <s v="ORD-0404"/>
    <x v="81"/>
    <s v="Customer 107"/>
    <x v="9"/>
    <x v="0"/>
    <x v="3"/>
    <n v="4"/>
    <n v="650000"/>
    <n v="0"/>
    <n v="2600000"/>
    <n v="944094.99"/>
    <s v="Cash"/>
    <x v="9"/>
  </r>
  <r>
    <s v="ORD-0405"/>
    <x v="148"/>
    <s v="Customer 014"/>
    <x v="0"/>
    <x v="0"/>
    <x v="4"/>
    <n v="3"/>
    <n v="420000"/>
    <n v="0"/>
    <n v="1260000"/>
    <n v="396205.67"/>
    <s v="Bank Transfer"/>
    <x v="9"/>
  </r>
  <r>
    <s v="ORD-0406"/>
    <x v="6"/>
    <s v="Customer 073"/>
    <x v="2"/>
    <x v="1"/>
    <x v="3"/>
    <n v="4"/>
    <n v="210000"/>
    <n v="0"/>
    <n v="840000"/>
    <n v="179098.39"/>
    <s v="Cash"/>
    <x v="0"/>
  </r>
  <r>
    <s v="ORD-0407"/>
    <x v="81"/>
    <s v="Customer 075"/>
    <x v="0"/>
    <x v="0"/>
    <x v="0"/>
    <n v="4"/>
    <n v="420000"/>
    <n v="0"/>
    <n v="1680000"/>
    <n v="588658.18000000005"/>
    <s v="Cash"/>
    <x v="9"/>
  </r>
  <r>
    <s v="ORD-0408"/>
    <x v="209"/>
    <s v="Customer 127"/>
    <x v="1"/>
    <x v="0"/>
    <x v="4"/>
    <n v="4"/>
    <n v="55000"/>
    <n v="0.05"/>
    <n v="209000"/>
    <n v="52853.56"/>
    <s v="Bank Transfer"/>
    <x v="7"/>
  </r>
  <r>
    <s v="ORD-0409"/>
    <x v="137"/>
    <s v="Customer 089"/>
    <x v="7"/>
    <x v="0"/>
    <x v="1"/>
    <n v="4"/>
    <n v="85000"/>
    <n v="0"/>
    <n v="340000"/>
    <n v="131610.81"/>
    <s v="Cash"/>
    <x v="0"/>
  </r>
  <r>
    <s v="ORD-0410"/>
    <x v="131"/>
    <s v="Customer 027"/>
    <x v="9"/>
    <x v="0"/>
    <x v="4"/>
    <n v="4"/>
    <n v="650000"/>
    <n v="0.2"/>
    <n v="2080000"/>
    <n v="139495.04000000001"/>
    <s v="Bank Transfer"/>
    <x v="10"/>
  </r>
  <r>
    <s v="ORD-0411"/>
    <x v="253"/>
    <s v="Customer 024"/>
    <x v="3"/>
    <x v="0"/>
    <x v="1"/>
    <n v="1"/>
    <n v="180000"/>
    <n v="0"/>
    <n v="180000"/>
    <n v="46413.69"/>
    <s v="Bank Transfer"/>
    <x v="8"/>
  </r>
  <r>
    <s v="ORD-0412"/>
    <x v="224"/>
    <s v="Customer 022"/>
    <x v="2"/>
    <x v="1"/>
    <x v="0"/>
    <n v="3"/>
    <n v="210000"/>
    <n v="0.1"/>
    <n v="567000"/>
    <n v="54728.23"/>
    <s v="Card"/>
    <x v="6"/>
  </r>
  <r>
    <s v="ORD-0413"/>
    <x v="204"/>
    <s v="Customer 016"/>
    <x v="2"/>
    <x v="1"/>
    <x v="2"/>
    <n v="4"/>
    <n v="210000"/>
    <n v="0"/>
    <n v="840000"/>
    <n v="243758.04"/>
    <s v="Bank Transfer"/>
    <x v="11"/>
  </r>
  <r>
    <s v="ORD-0414"/>
    <x v="160"/>
    <s v="Customer 101"/>
    <x v="8"/>
    <x v="1"/>
    <x v="3"/>
    <n v="3"/>
    <n v="120000"/>
    <n v="0.05"/>
    <n v="342000"/>
    <n v="53988.72"/>
    <s v="Cash"/>
    <x v="7"/>
  </r>
  <r>
    <s v="ORD-0415"/>
    <x v="135"/>
    <s v="Customer 035"/>
    <x v="6"/>
    <x v="2"/>
    <x v="0"/>
    <n v="2"/>
    <n v="45000"/>
    <n v="0"/>
    <n v="90000"/>
    <n v="17571.62"/>
    <s v="Card"/>
    <x v="7"/>
  </r>
  <r>
    <s v="ORD-0416"/>
    <x v="141"/>
    <s v="Customer 105"/>
    <x v="7"/>
    <x v="0"/>
    <x v="1"/>
    <n v="2"/>
    <n v="85000"/>
    <n v="0.1"/>
    <n v="153000"/>
    <n v="38108.07"/>
    <s v="Cash"/>
    <x v="4"/>
  </r>
  <r>
    <s v="ORD-0417"/>
    <x v="254"/>
    <s v="Customer 031"/>
    <x v="8"/>
    <x v="1"/>
    <x v="1"/>
    <n v="3"/>
    <n v="120000"/>
    <n v="0.1"/>
    <n v="324000"/>
    <n v="100241.23"/>
    <s v="Bank Transfer"/>
    <x v="1"/>
  </r>
  <r>
    <s v="ORD-0418"/>
    <x v="232"/>
    <s v="Customer 084"/>
    <x v="4"/>
    <x v="1"/>
    <x v="4"/>
    <n v="5"/>
    <n v="35000"/>
    <n v="0"/>
    <n v="175000"/>
    <n v="68590.27"/>
    <s v="Card"/>
    <x v="10"/>
  </r>
  <r>
    <s v="ORD-0419"/>
    <x v="255"/>
    <s v="Customer 077"/>
    <x v="8"/>
    <x v="1"/>
    <x v="3"/>
    <n v="4"/>
    <n v="120000"/>
    <n v="0.15"/>
    <n v="408000"/>
    <n v="137656"/>
    <s v="Bank Transfer"/>
    <x v="6"/>
  </r>
  <r>
    <s v="ORD-0420"/>
    <x v="140"/>
    <s v="Customer 064"/>
    <x v="9"/>
    <x v="0"/>
    <x v="1"/>
    <n v="4"/>
    <n v="650000"/>
    <n v="0.15"/>
    <n v="2210000"/>
    <n v="254848.93"/>
    <s v="Mobile Money"/>
    <x v="6"/>
  </r>
  <r>
    <s v="ORD-0421"/>
    <x v="220"/>
    <s v="Customer 057"/>
    <x v="0"/>
    <x v="0"/>
    <x v="4"/>
    <n v="1"/>
    <n v="420000"/>
    <n v="0"/>
    <n v="420000"/>
    <n v="182006.71"/>
    <s v="Bank Transfer"/>
    <x v="11"/>
  </r>
  <r>
    <s v="ORD-0422"/>
    <x v="251"/>
    <s v="Customer 020"/>
    <x v="3"/>
    <x v="0"/>
    <x v="1"/>
    <n v="1"/>
    <n v="180000"/>
    <n v="0.15"/>
    <n v="153000"/>
    <n v="25514.63"/>
    <s v="Card"/>
    <x v="6"/>
  </r>
  <r>
    <s v="ORD-0423"/>
    <x v="168"/>
    <s v="Customer 085"/>
    <x v="8"/>
    <x v="1"/>
    <x v="1"/>
    <n v="4"/>
    <n v="120000"/>
    <n v="0"/>
    <n v="480000"/>
    <n v="204079.57"/>
    <s v="Card"/>
    <x v="5"/>
  </r>
  <r>
    <s v="ORD-0424"/>
    <x v="33"/>
    <s v="Customer 102"/>
    <x v="6"/>
    <x v="2"/>
    <x v="2"/>
    <n v="2"/>
    <n v="45000"/>
    <n v="0.15"/>
    <n v="76500"/>
    <n v="16474.3"/>
    <s v="Card"/>
    <x v="0"/>
  </r>
  <r>
    <s v="ORD-0425"/>
    <x v="249"/>
    <s v="Customer 048"/>
    <x v="3"/>
    <x v="0"/>
    <x v="3"/>
    <n v="4"/>
    <n v="180000"/>
    <n v="0"/>
    <n v="720000"/>
    <n v="255193.43"/>
    <s v="Cash"/>
    <x v="10"/>
  </r>
  <r>
    <s v="ORD-0426"/>
    <x v="87"/>
    <s v="Customer 063"/>
    <x v="6"/>
    <x v="2"/>
    <x v="3"/>
    <n v="1"/>
    <n v="45000"/>
    <n v="0.15"/>
    <n v="38250"/>
    <n v="5977"/>
    <s v="Mobile Money"/>
    <x v="11"/>
  </r>
  <r>
    <s v="ORD-0427"/>
    <x v="256"/>
    <s v="Customer 099"/>
    <x v="3"/>
    <x v="0"/>
    <x v="4"/>
    <n v="4"/>
    <n v="180000"/>
    <n v="0"/>
    <n v="720000"/>
    <n v="306946.93"/>
    <s v="Mobile Money"/>
    <x v="9"/>
  </r>
  <r>
    <s v="ORD-0428"/>
    <x v="68"/>
    <s v="Customer 140"/>
    <x v="8"/>
    <x v="1"/>
    <x v="1"/>
    <n v="5"/>
    <n v="120000"/>
    <n v="0"/>
    <n v="600000"/>
    <n v="167817.79"/>
    <s v="Mobile Money"/>
    <x v="5"/>
  </r>
  <r>
    <s v="ORD-0429"/>
    <x v="257"/>
    <s v="Customer 145"/>
    <x v="5"/>
    <x v="2"/>
    <x v="0"/>
    <n v="5"/>
    <n v="12000"/>
    <n v="0.1"/>
    <n v="54000"/>
    <n v="15426.65"/>
    <s v="Cash"/>
    <x v="8"/>
  </r>
  <r>
    <s v="ORD-0430"/>
    <x v="82"/>
    <s v="Customer 057"/>
    <x v="3"/>
    <x v="0"/>
    <x v="1"/>
    <n v="2"/>
    <n v="180000"/>
    <n v="0"/>
    <n v="360000"/>
    <n v="131005.1"/>
    <s v="Cash"/>
    <x v="7"/>
  </r>
  <r>
    <s v="ORD-0431"/>
    <x v="258"/>
    <s v="Customer 060"/>
    <x v="9"/>
    <x v="0"/>
    <x v="4"/>
    <n v="5"/>
    <n v="650000"/>
    <n v="0.05"/>
    <n v="3087500"/>
    <n v="627096"/>
    <s v="Card"/>
    <x v="1"/>
  </r>
  <r>
    <s v="ORD-0432"/>
    <x v="131"/>
    <s v="Customer 015"/>
    <x v="8"/>
    <x v="1"/>
    <x v="4"/>
    <n v="2"/>
    <n v="120000"/>
    <n v="0.05"/>
    <n v="228000"/>
    <n v="61416.92"/>
    <s v="Mobile Money"/>
    <x v="10"/>
  </r>
  <r>
    <s v="ORD-0433"/>
    <x v="189"/>
    <s v="Customer 092"/>
    <x v="5"/>
    <x v="2"/>
    <x v="0"/>
    <n v="2"/>
    <n v="12000"/>
    <n v="0"/>
    <n v="24000"/>
    <n v="6960.47"/>
    <s v="Card"/>
    <x v="11"/>
  </r>
  <r>
    <s v="ORD-0434"/>
    <x v="19"/>
    <s v="Customer 049"/>
    <x v="5"/>
    <x v="2"/>
    <x v="2"/>
    <n v="5"/>
    <n v="12000"/>
    <n v="0"/>
    <n v="60000"/>
    <n v="17877.64"/>
    <s v="Cash"/>
    <x v="9"/>
  </r>
  <r>
    <s v="ORD-0435"/>
    <x v="253"/>
    <s v="Customer 057"/>
    <x v="7"/>
    <x v="0"/>
    <x v="1"/>
    <n v="1"/>
    <n v="85000"/>
    <n v="0"/>
    <n v="85000"/>
    <n v="36960.94"/>
    <s v="Mobile Money"/>
    <x v="8"/>
  </r>
  <r>
    <s v="ORD-0436"/>
    <x v="259"/>
    <s v="Customer 088"/>
    <x v="9"/>
    <x v="0"/>
    <x v="4"/>
    <n v="5"/>
    <n v="650000"/>
    <n v="0"/>
    <n v="3250000"/>
    <n v="754844.15"/>
    <s v="Cash"/>
    <x v="3"/>
  </r>
  <r>
    <s v="ORD-0437"/>
    <x v="260"/>
    <s v="Customer 037"/>
    <x v="9"/>
    <x v="0"/>
    <x v="1"/>
    <n v="2"/>
    <n v="650000"/>
    <n v="0.15"/>
    <n v="1105000"/>
    <n v="142651.57999999999"/>
    <s v="Cash"/>
    <x v="0"/>
  </r>
  <r>
    <s v="ORD-0438"/>
    <x v="17"/>
    <s v="Customer 078"/>
    <x v="0"/>
    <x v="0"/>
    <x v="3"/>
    <n v="4"/>
    <n v="420000"/>
    <n v="0.15"/>
    <n v="1428000"/>
    <n v="458171.81"/>
    <s v="Bank Transfer"/>
    <x v="6"/>
  </r>
  <r>
    <s v="ORD-0439"/>
    <x v="94"/>
    <s v="Customer 144"/>
    <x v="7"/>
    <x v="0"/>
    <x v="0"/>
    <n v="4"/>
    <n v="85000"/>
    <n v="0.2"/>
    <n v="272000"/>
    <n v="55873.38"/>
    <s v="Cash"/>
    <x v="1"/>
  </r>
  <r>
    <s v="ORD-0440"/>
    <x v="161"/>
    <s v="Customer 076"/>
    <x v="8"/>
    <x v="1"/>
    <x v="4"/>
    <n v="5"/>
    <n v="120000"/>
    <n v="0"/>
    <n v="600000"/>
    <n v="208701.77"/>
    <s v="Bank Transfer"/>
    <x v="10"/>
  </r>
  <r>
    <s v="ORD-0441"/>
    <x v="78"/>
    <s v="Customer 146"/>
    <x v="9"/>
    <x v="0"/>
    <x v="1"/>
    <n v="5"/>
    <n v="650000"/>
    <n v="0.1"/>
    <n v="2925000"/>
    <n v="390960.76"/>
    <s v="Bank Transfer"/>
    <x v="10"/>
  </r>
  <r>
    <s v="ORD-0442"/>
    <x v="190"/>
    <s v="Customer 027"/>
    <x v="1"/>
    <x v="0"/>
    <x v="2"/>
    <n v="5"/>
    <n v="55000"/>
    <n v="0"/>
    <n v="275000"/>
    <n v="76256.23"/>
    <s v="Bank Transfer"/>
    <x v="3"/>
  </r>
  <r>
    <s v="ORD-0443"/>
    <x v="139"/>
    <s v="Customer 043"/>
    <x v="5"/>
    <x v="2"/>
    <x v="1"/>
    <n v="2"/>
    <n v="12000"/>
    <n v="0.05"/>
    <n v="22800"/>
    <n v="3234.18"/>
    <s v="Cash"/>
    <x v="4"/>
  </r>
  <r>
    <s v="ORD-0444"/>
    <x v="261"/>
    <s v="Customer 018"/>
    <x v="6"/>
    <x v="2"/>
    <x v="3"/>
    <n v="3"/>
    <n v="45000"/>
    <n v="0"/>
    <n v="135000"/>
    <n v="51654.239999999998"/>
    <s v="Cash"/>
    <x v="0"/>
  </r>
  <r>
    <s v="ORD-0445"/>
    <x v="244"/>
    <s v="Customer 108"/>
    <x v="0"/>
    <x v="0"/>
    <x v="4"/>
    <n v="1"/>
    <n v="420000"/>
    <n v="0.1"/>
    <n v="378000"/>
    <n v="97305.84"/>
    <s v="Mobile Money"/>
    <x v="0"/>
  </r>
  <r>
    <s v="ORD-0446"/>
    <x v="262"/>
    <s v="Customer 123"/>
    <x v="6"/>
    <x v="2"/>
    <x v="0"/>
    <n v="3"/>
    <n v="45000"/>
    <n v="0.15"/>
    <n v="114750"/>
    <n v="26818.58"/>
    <s v="Bank Transfer"/>
    <x v="6"/>
  </r>
  <r>
    <s v="ORD-0447"/>
    <x v="254"/>
    <s v="Customer 082"/>
    <x v="7"/>
    <x v="0"/>
    <x v="3"/>
    <n v="1"/>
    <n v="85000"/>
    <n v="0"/>
    <n v="85000"/>
    <n v="31481.85"/>
    <s v="Card"/>
    <x v="1"/>
  </r>
  <r>
    <s v="ORD-0448"/>
    <x v="263"/>
    <s v="Customer 020"/>
    <x v="0"/>
    <x v="0"/>
    <x v="0"/>
    <n v="2"/>
    <n v="420000"/>
    <n v="0.1"/>
    <n v="756000"/>
    <n v="257506.86"/>
    <s v="Card"/>
    <x v="3"/>
  </r>
  <r>
    <s v="ORD-0449"/>
    <x v="264"/>
    <s v="Customer 111"/>
    <x v="5"/>
    <x v="2"/>
    <x v="4"/>
    <n v="5"/>
    <n v="12000"/>
    <n v="0.1"/>
    <n v="54000"/>
    <n v="9587.02"/>
    <s v="Mobile Money"/>
    <x v="5"/>
  </r>
  <r>
    <s v="ORD-0450"/>
    <x v="265"/>
    <s v="Customer 049"/>
    <x v="7"/>
    <x v="0"/>
    <x v="2"/>
    <n v="1"/>
    <n v="85000"/>
    <n v="0.05"/>
    <n v="80750"/>
    <n v="29282.62"/>
    <s v="Cash"/>
    <x v="0"/>
  </r>
  <r>
    <s v="ORD-0451"/>
    <x v="266"/>
    <s v="Customer 147"/>
    <x v="4"/>
    <x v="1"/>
    <x v="0"/>
    <n v="2"/>
    <n v="35000"/>
    <n v="0"/>
    <n v="70000"/>
    <n v="30561.89"/>
    <s v="Mobile Money"/>
    <x v="3"/>
  </r>
  <r>
    <s v="ORD-0452"/>
    <x v="265"/>
    <s v="Customer 076"/>
    <x v="7"/>
    <x v="0"/>
    <x v="0"/>
    <n v="3"/>
    <n v="85000"/>
    <n v="0"/>
    <n v="255000"/>
    <n v="85309.33"/>
    <s v="Mobile Money"/>
    <x v="0"/>
  </r>
  <r>
    <s v="ORD-0453"/>
    <x v="4"/>
    <s v="Customer 075"/>
    <x v="8"/>
    <x v="1"/>
    <x v="1"/>
    <n v="1"/>
    <n v="120000"/>
    <n v="0"/>
    <n v="120000"/>
    <n v="48465.04"/>
    <s v="Mobile Money"/>
    <x v="4"/>
  </r>
  <r>
    <s v="ORD-0454"/>
    <x v="267"/>
    <s v="Customer 068"/>
    <x v="0"/>
    <x v="0"/>
    <x v="1"/>
    <n v="4"/>
    <n v="420000"/>
    <n v="0.1"/>
    <n v="1512000"/>
    <n v="366145.69"/>
    <s v="Mobile Money"/>
    <x v="3"/>
  </r>
  <r>
    <s v="ORD-0455"/>
    <x v="169"/>
    <s v="Customer 012"/>
    <x v="7"/>
    <x v="0"/>
    <x v="3"/>
    <n v="4"/>
    <n v="85000"/>
    <n v="0.05"/>
    <n v="323000"/>
    <n v="118871.69"/>
    <s v="Mobile Money"/>
    <x v="6"/>
  </r>
  <r>
    <s v="ORD-0456"/>
    <x v="240"/>
    <s v="Customer 039"/>
    <x v="6"/>
    <x v="2"/>
    <x v="1"/>
    <n v="2"/>
    <n v="45000"/>
    <n v="0.05"/>
    <n v="85500"/>
    <n v="22288.81"/>
    <s v="Card"/>
    <x v="7"/>
  </r>
  <r>
    <s v="ORD-0457"/>
    <x v="268"/>
    <s v="Customer 016"/>
    <x v="5"/>
    <x v="2"/>
    <x v="2"/>
    <n v="4"/>
    <n v="12000"/>
    <n v="0.15"/>
    <n v="40800"/>
    <n v="11451.43"/>
    <s v="Mobile Money"/>
    <x v="9"/>
  </r>
  <r>
    <s v="ORD-0458"/>
    <x v="269"/>
    <s v="Customer 122"/>
    <x v="2"/>
    <x v="1"/>
    <x v="3"/>
    <n v="4"/>
    <n v="210000"/>
    <n v="0.15"/>
    <n v="714000"/>
    <n v="52040.9"/>
    <s v="Card"/>
    <x v="10"/>
  </r>
  <r>
    <s v="ORD-0459"/>
    <x v="270"/>
    <s v="Customer 147"/>
    <x v="3"/>
    <x v="0"/>
    <x v="0"/>
    <n v="5"/>
    <n v="180000"/>
    <n v="0.15"/>
    <n v="765000"/>
    <n v="51189.42"/>
    <s v="Bank Transfer"/>
    <x v="0"/>
  </r>
  <r>
    <s v="ORD-0460"/>
    <x v="227"/>
    <s v="Customer 050"/>
    <x v="0"/>
    <x v="0"/>
    <x v="4"/>
    <n v="2"/>
    <n v="420000"/>
    <n v="0"/>
    <n v="840000"/>
    <n v="157513.01"/>
    <s v="Card"/>
    <x v="1"/>
  </r>
  <r>
    <s v="ORD-0461"/>
    <x v="5"/>
    <s v="Customer 038"/>
    <x v="3"/>
    <x v="0"/>
    <x v="0"/>
    <n v="4"/>
    <n v="180000"/>
    <n v="0"/>
    <n v="720000"/>
    <n v="130130.86"/>
    <s v="Cash"/>
    <x v="4"/>
  </r>
  <r>
    <s v="ORD-0462"/>
    <x v="129"/>
    <s v="Customer 142"/>
    <x v="5"/>
    <x v="2"/>
    <x v="3"/>
    <n v="1"/>
    <n v="12000"/>
    <n v="0.1"/>
    <n v="10800"/>
    <n v="2397.38"/>
    <s v="Cash"/>
    <x v="4"/>
  </r>
  <r>
    <s v="ORD-0463"/>
    <x v="237"/>
    <s v="Customer 134"/>
    <x v="2"/>
    <x v="1"/>
    <x v="2"/>
    <n v="1"/>
    <n v="210000"/>
    <n v="0.2"/>
    <n v="168000"/>
    <n v="17172.62"/>
    <s v="Card"/>
    <x v="1"/>
  </r>
  <r>
    <s v="ORD-0464"/>
    <x v="87"/>
    <s v="Customer 026"/>
    <x v="3"/>
    <x v="0"/>
    <x v="1"/>
    <n v="2"/>
    <n v="180000"/>
    <n v="0.15"/>
    <n v="306000"/>
    <n v="50852.800000000003"/>
    <s v="Card"/>
    <x v="11"/>
  </r>
  <r>
    <s v="ORD-0465"/>
    <x v="210"/>
    <s v="Customer 125"/>
    <x v="4"/>
    <x v="1"/>
    <x v="0"/>
    <n v="3"/>
    <n v="35000"/>
    <n v="0.1"/>
    <n v="94500"/>
    <n v="29261.73"/>
    <s v="Mobile Money"/>
    <x v="9"/>
  </r>
  <r>
    <s v="ORD-0466"/>
    <x v="189"/>
    <s v="Customer 103"/>
    <x v="9"/>
    <x v="0"/>
    <x v="1"/>
    <n v="3"/>
    <n v="650000"/>
    <n v="0.1"/>
    <n v="1755000"/>
    <n v="606761.56999999995"/>
    <s v="Mobile Money"/>
    <x v="11"/>
  </r>
  <r>
    <s v="ORD-0467"/>
    <x v="83"/>
    <s v="Customer 069"/>
    <x v="5"/>
    <x v="2"/>
    <x v="3"/>
    <n v="2"/>
    <n v="12000"/>
    <n v="0"/>
    <n v="24000"/>
    <n v="5967.54"/>
    <s v="Card"/>
    <x v="10"/>
  </r>
  <r>
    <s v="ORD-0468"/>
    <x v="271"/>
    <s v="Customer 026"/>
    <x v="5"/>
    <x v="2"/>
    <x v="4"/>
    <n v="3"/>
    <n v="12000"/>
    <n v="0.05"/>
    <n v="34200"/>
    <n v="6207.53"/>
    <s v="Bank Transfer"/>
    <x v="3"/>
  </r>
  <r>
    <s v="ORD-0469"/>
    <x v="57"/>
    <s v="Customer 023"/>
    <x v="4"/>
    <x v="1"/>
    <x v="4"/>
    <n v="3"/>
    <n v="35000"/>
    <n v="0.05"/>
    <n v="99750"/>
    <n v="21338.54"/>
    <s v="Mobile Money"/>
    <x v="1"/>
  </r>
  <r>
    <s v="ORD-0470"/>
    <x v="99"/>
    <s v="Customer 015"/>
    <x v="8"/>
    <x v="1"/>
    <x v="0"/>
    <n v="4"/>
    <n v="120000"/>
    <n v="0.15"/>
    <n v="408000"/>
    <n v="31612.31"/>
    <s v="Bank Transfer"/>
    <x v="6"/>
  </r>
  <r>
    <s v="ORD-0471"/>
    <x v="229"/>
    <s v="Customer 135"/>
    <x v="0"/>
    <x v="0"/>
    <x v="0"/>
    <n v="5"/>
    <n v="420000"/>
    <n v="0.1"/>
    <n v="1890000"/>
    <n v="658086.55000000005"/>
    <s v="Card"/>
    <x v="3"/>
  </r>
  <r>
    <s v="ORD-0472"/>
    <x v="153"/>
    <s v="Customer 117"/>
    <x v="7"/>
    <x v="0"/>
    <x v="1"/>
    <n v="2"/>
    <n v="85000"/>
    <n v="0"/>
    <n v="170000"/>
    <n v="65048.4"/>
    <s v="Cash"/>
    <x v="2"/>
  </r>
  <r>
    <s v="ORD-0473"/>
    <x v="64"/>
    <s v="Customer 032"/>
    <x v="8"/>
    <x v="1"/>
    <x v="1"/>
    <n v="3"/>
    <n v="120000"/>
    <n v="0.1"/>
    <n v="324000"/>
    <n v="76901.72"/>
    <s v="Bank Transfer"/>
    <x v="7"/>
  </r>
  <r>
    <s v="ORD-0474"/>
    <x v="79"/>
    <s v="Customer 122"/>
    <x v="5"/>
    <x v="2"/>
    <x v="0"/>
    <n v="5"/>
    <n v="12000"/>
    <n v="0.1"/>
    <n v="54000"/>
    <n v="18123.14"/>
    <s v="Cash"/>
    <x v="8"/>
  </r>
  <r>
    <s v="ORD-0475"/>
    <x v="46"/>
    <s v="Customer 024"/>
    <x v="5"/>
    <x v="2"/>
    <x v="3"/>
    <n v="3"/>
    <n v="12000"/>
    <n v="0.2"/>
    <n v="28800"/>
    <n v="923.94"/>
    <s v="Card"/>
    <x v="11"/>
  </r>
  <r>
    <s v="ORD-0476"/>
    <x v="33"/>
    <s v="Customer 055"/>
    <x v="3"/>
    <x v="0"/>
    <x v="4"/>
    <n v="2"/>
    <n v="180000"/>
    <n v="0.15"/>
    <n v="306000"/>
    <n v="32200.51"/>
    <s v="Bank Transfer"/>
    <x v="0"/>
  </r>
  <r>
    <s v="ORD-0477"/>
    <x v="222"/>
    <s v="Customer 003"/>
    <x v="8"/>
    <x v="1"/>
    <x v="2"/>
    <n v="4"/>
    <n v="120000"/>
    <n v="0.15"/>
    <n v="408000"/>
    <n v="141401.21"/>
    <s v="Bank Transfer"/>
    <x v="7"/>
  </r>
  <r>
    <s v="ORD-0478"/>
    <x v="272"/>
    <s v="Customer 079"/>
    <x v="7"/>
    <x v="0"/>
    <x v="3"/>
    <n v="1"/>
    <n v="85000"/>
    <n v="0"/>
    <n v="85000"/>
    <n v="32457.64"/>
    <s v="Mobile Money"/>
    <x v="5"/>
  </r>
  <r>
    <s v="ORD-0479"/>
    <x v="273"/>
    <s v="Customer 078"/>
    <x v="3"/>
    <x v="0"/>
    <x v="0"/>
    <n v="4"/>
    <n v="180000"/>
    <n v="0.05"/>
    <n v="684000"/>
    <n v="245580.16"/>
    <s v="Mobile Money"/>
    <x v="3"/>
  </r>
  <r>
    <s v="ORD-0480"/>
    <x v="149"/>
    <s v="Customer 096"/>
    <x v="1"/>
    <x v="0"/>
    <x v="0"/>
    <n v="1"/>
    <n v="55000"/>
    <n v="0.15"/>
    <n v="46750"/>
    <n v="1658.47"/>
    <s v="Cash"/>
    <x v="4"/>
  </r>
  <r>
    <s v="ORD-0481"/>
    <x v="235"/>
    <s v="Customer 071"/>
    <x v="4"/>
    <x v="1"/>
    <x v="3"/>
    <n v="1"/>
    <n v="35000"/>
    <n v="0.1"/>
    <n v="31500"/>
    <n v="11646.74"/>
    <s v="Cash"/>
    <x v="10"/>
  </r>
  <r>
    <s v="ORD-0482"/>
    <x v="164"/>
    <s v="Customer 062"/>
    <x v="4"/>
    <x v="1"/>
    <x v="1"/>
    <n v="3"/>
    <n v="35000"/>
    <n v="0"/>
    <n v="105000"/>
    <n v="42999.5"/>
    <s v="Mobile Money"/>
    <x v="10"/>
  </r>
  <r>
    <s v="ORD-0483"/>
    <x v="200"/>
    <s v="Customer 128"/>
    <x v="5"/>
    <x v="2"/>
    <x v="3"/>
    <n v="2"/>
    <n v="12000"/>
    <n v="0.2"/>
    <n v="19200"/>
    <n v="5835.05"/>
    <s v="Cash"/>
    <x v="10"/>
  </r>
  <r>
    <s v="ORD-0484"/>
    <x v="140"/>
    <s v="Customer 147"/>
    <x v="3"/>
    <x v="0"/>
    <x v="4"/>
    <n v="4"/>
    <n v="180000"/>
    <n v="0.2"/>
    <n v="576000"/>
    <n v="173133.99"/>
    <s v="Cash"/>
    <x v="6"/>
  </r>
  <r>
    <s v="ORD-0485"/>
    <x v="269"/>
    <s v="Customer 092"/>
    <x v="8"/>
    <x v="1"/>
    <x v="0"/>
    <n v="5"/>
    <n v="120000"/>
    <n v="0.2"/>
    <n v="480000"/>
    <n v="22846.68"/>
    <s v="Cash"/>
    <x v="10"/>
  </r>
  <r>
    <s v="ORD-0486"/>
    <x v="131"/>
    <s v="Customer 121"/>
    <x v="7"/>
    <x v="0"/>
    <x v="4"/>
    <n v="5"/>
    <n v="85000"/>
    <n v="0"/>
    <n v="425000"/>
    <n v="157538.28"/>
    <s v="Cash"/>
    <x v="10"/>
  </r>
  <r>
    <s v="ORD-0487"/>
    <x v="77"/>
    <s v="Customer 091"/>
    <x v="2"/>
    <x v="1"/>
    <x v="4"/>
    <n v="3"/>
    <n v="210000"/>
    <n v="0.2"/>
    <n v="504000"/>
    <n v="142310.1"/>
    <s v="Cash"/>
    <x v="2"/>
  </r>
  <r>
    <s v="ORD-0488"/>
    <x v="259"/>
    <s v="Customer 119"/>
    <x v="3"/>
    <x v="0"/>
    <x v="1"/>
    <n v="3"/>
    <n v="180000"/>
    <n v="0.05"/>
    <n v="513000"/>
    <n v="130623.79"/>
    <s v="Mobile Money"/>
    <x v="3"/>
  </r>
  <r>
    <s v="ORD-0489"/>
    <x v="274"/>
    <s v="Customer 019"/>
    <x v="9"/>
    <x v="0"/>
    <x v="2"/>
    <n v="5"/>
    <n v="650000"/>
    <n v="0.15"/>
    <n v="2762500"/>
    <n v="146375.89000000001"/>
    <s v="Bank Transfer"/>
    <x v="5"/>
  </r>
  <r>
    <s v="ORD-0490"/>
    <x v="275"/>
    <s v="Customer 014"/>
    <x v="2"/>
    <x v="1"/>
    <x v="4"/>
    <n v="4"/>
    <n v="210000"/>
    <n v="0.15"/>
    <n v="714000"/>
    <n v="184332.92"/>
    <s v="Bank Transfer"/>
    <x v="11"/>
  </r>
  <r>
    <s v="ORD-0491"/>
    <x v="263"/>
    <s v="Customer 118"/>
    <x v="8"/>
    <x v="1"/>
    <x v="4"/>
    <n v="4"/>
    <n v="120000"/>
    <n v="0.15"/>
    <n v="408000"/>
    <n v="28287.27"/>
    <s v="Cash"/>
    <x v="3"/>
  </r>
  <r>
    <s v="ORD-0492"/>
    <x v="34"/>
    <s v="Customer 046"/>
    <x v="7"/>
    <x v="0"/>
    <x v="3"/>
    <n v="4"/>
    <n v="85000"/>
    <n v="0.05"/>
    <n v="323000"/>
    <n v="78071.19"/>
    <s v="Card"/>
    <x v="4"/>
  </r>
  <r>
    <s v="ORD-0493"/>
    <x v="254"/>
    <s v="Customer 044"/>
    <x v="9"/>
    <x v="0"/>
    <x v="0"/>
    <n v="3"/>
    <n v="650000"/>
    <n v="0"/>
    <n v="1950000"/>
    <n v="476731.74"/>
    <s v="Bank Transfer"/>
    <x v="1"/>
  </r>
  <r>
    <s v="ORD-0494"/>
    <x v="96"/>
    <s v="Customer 110"/>
    <x v="6"/>
    <x v="2"/>
    <x v="2"/>
    <n v="2"/>
    <n v="45000"/>
    <n v="0.15"/>
    <n v="76500"/>
    <n v="16460.810000000001"/>
    <s v="Mobile Money"/>
    <x v="4"/>
  </r>
  <r>
    <s v="ORD-0495"/>
    <x v="276"/>
    <s v="Customer 096"/>
    <x v="6"/>
    <x v="2"/>
    <x v="1"/>
    <n v="1"/>
    <n v="45000"/>
    <n v="0"/>
    <n v="45000"/>
    <n v="13764.54"/>
    <s v="Cash"/>
    <x v="6"/>
  </r>
  <r>
    <s v="ORD-0496"/>
    <x v="212"/>
    <s v="Customer 064"/>
    <x v="2"/>
    <x v="1"/>
    <x v="4"/>
    <n v="1"/>
    <n v="210000"/>
    <n v="0.2"/>
    <n v="168000"/>
    <n v="52266.18"/>
    <s v="Cash"/>
    <x v="2"/>
  </r>
  <r>
    <s v="ORD-0497"/>
    <x v="42"/>
    <s v="Customer 079"/>
    <x v="4"/>
    <x v="1"/>
    <x v="4"/>
    <n v="1"/>
    <n v="35000"/>
    <n v="0.1"/>
    <n v="31500"/>
    <n v="7493.47"/>
    <s v="Card"/>
    <x v="11"/>
  </r>
  <r>
    <s v="ORD-0498"/>
    <x v="266"/>
    <s v="Customer 135"/>
    <x v="9"/>
    <x v="0"/>
    <x v="3"/>
    <n v="3"/>
    <n v="650000"/>
    <n v="0.1"/>
    <n v="1755000"/>
    <n v="299296.5"/>
    <s v="Mobile Money"/>
    <x v="3"/>
  </r>
  <r>
    <s v="ORD-0499"/>
    <x v="263"/>
    <s v="Customer 043"/>
    <x v="7"/>
    <x v="0"/>
    <x v="2"/>
    <n v="4"/>
    <n v="85000"/>
    <n v="0.05"/>
    <n v="323000"/>
    <n v="67139.39"/>
    <s v="Card"/>
    <x v="3"/>
  </r>
  <r>
    <s v="ORD-0500"/>
    <x v="158"/>
    <s v="Customer 130"/>
    <x v="8"/>
    <x v="1"/>
    <x v="4"/>
    <n v="2"/>
    <n v="120000"/>
    <n v="0"/>
    <n v="240000"/>
    <n v="60431.839999999997"/>
    <s v="Card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-0001"/>
    <s v="2025-01-13"/>
    <s v="Customer 027"/>
    <s v="Smartphone X"/>
    <s v="Technology"/>
    <x v="0"/>
    <n v="3"/>
    <n v="420000"/>
    <n v="0"/>
    <n v="1260000"/>
    <n v="491063.71"/>
    <s v="Card"/>
  </r>
  <r>
    <s v="ORD-0002"/>
    <s v="2025-08-05"/>
    <s v="Customer 060"/>
    <s v="USB-C Hub"/>
    <s v="Technology"/>
    <x v="0"/>
    <n v="1"/>
    <n v="55000"/>
    <n v="0"/>
    <n v="55000"/>
    <n v="23358.63"/>
    <s v="Card"/>
  </r>
  <r>
    <s v="ORD-0003"/>
    <s v="2025-04-12"/>
    <s v="Customer 072"/>
    <s v="Standing Desk"/>
    <s v="Furniture"/>
    <x v="1"/>
    <n v="5"/>
    <n v="210000"/>
    <n v="0.1"/>
    <n v="945000"/>
    <n v="305005.08"/>
    <s v="Bank Transfer"/>
  </r>
  <r>
    <s v="ORD-0004"/>
    <s v="2025-06-24"/>
    <s v="Customer 087"/>
    <s v="Printer"/>
    <s v="Technology"/>
    <x v="1"/>
    <n v="3"/>
    <n v="180000"/>
    <n v="0"/>
    <n v="540000"/>
    <n v="211607.25"/>
    <s v="Card"/>
  </r>
  <r>
    <s v="ORD-0005"/>
    <s v="2025-02-19"/>
    <s v="Customer 012"/>
    <s v="Printer"/>
    <s v="Technology"/>
    <x v="2"/>
    <n v="3"/>
    <n v="180000"/>
    <n v="0.05"/>
    <n v="513000"/>
    <n v="127976.74"/>
    <s v="Card"/>
  </r>
  <r>
    <s v="ORD-0006"/>
    <s v="2025-02-10"/>
    <s v="Customer 093"/>
    <s v="Printer"/>
    <s v="Technology"/>
    <x v="0"/>
    <n v="5"/>
    <n v="180000"/>
    <n v="0.05"/>
    <n v="855000"/>
    <n v="158454.67000000001"/>
    <s v="Bank Transfer"/>
  </r>
  <r>
    <s v="ORD-0007"/>
    <s v="2025-01-24"/>
    <s v="Customer 060"/>
    <s v="Smartphone X"/>
    <s v="Technology"/>
    <x v="1"/>
    <n v="2"/>
    <n v="420000"/>
    <n v="0.05"/>
    <n v="798000"/>
    <n v="112551.76"/>
    <s v="Mobile Money"/>
  </r>
  <r>
    <s v="ORD-0008"/>
    <s v="2025-08-21"/>
    <s v="Customer 054"/>
    <s v="Desk Lamp"/>
    <s v="Furniture"/>
    <x v="3"/>
    <n v="3"/>
    <n v="35000"/>
    <n v="0"/>
    <n v="105000"/>
    <n v="36755.370000000003"/>
    <s v="Card"/>
  </r>
  <r>
    <s v="ORD-0009"/>
    <s v="2025-11-22"/>
    <s v="Customer 042"/>
    <s v="USB-C Hub"/>
    <s v="Technology"/>
    <x v="2"/>
    <n v="2"/>
    <n v="55000"/>
    <n v="0.15"/>
    <n v="93500"/>
    <n v="11344.93"/>
    <s v="Mobile Money"/>
  </r>
  <r>
    <s v="ORD-0010"/>
    <s v="2025-11-24"/>
    <s v="Customer 015"/>
    <s v="Desk Lamp"/>
    <s v="Furniture"/>
    <x v="4"/>
    <n v="5"/>
    <n v="35000"/>
    <n v="0"/>
    <n v="175000"/>
    <n v="46401.98"/>
    <s v="Card"/>
  </r>
  <r>
    <s v="ORD-0011"/>
    <s v="2025-07-25"/>
    <s v="Customer 146"/>
    <s v="Notebook Pack"/>
    <s v="Office Supplies"/>
    <x v="3"/>
    <n v="3"/>
    <n v="12000"/>
    <n v="0"/>
    <n v="36000"/>
    <n v="14149.25"/>
    <s v="Bank Transfer"/>
  </r>
  <r>
    <s v="ORD-0012"/>
    <s v="2025-07-22"/>
    <s v="Customer 064"/>
    <s v="Backpack"/>
    <s v="Office Supplies"/>
    <x v="0"/>
    <n v="4"/>
    <n v="45000"/>
    <n v="0"/>
    <n v="180000"/>
    <n v="68126.820000000007"/>
    <s v="Cash"/>
  </r>
  <r>
    <s v="ORD-0013"/>
    <s v="2025-08-08"/>
    <s v="Customer 036"/>
    <s v="USB-C Hub"/>
    <s v="Technology"/>
    <x v="0"/>
    <n v="5"/>
    <n v="55000"/>
    <n v="0.1"/>
    <n v="247500"/>
    <n v="69371.759999999995"/>
    <s v="Mobile Money"/>
  </r>
  <r>
    <s v="ORD-0014"/>
    <s v="2025-01-25"/>
    <s v="Customer 109"/>
    <s v="Smartphone X"/>
    <s v="Technology"/>
    <x v="0"/>
    <n v="1"/>
    <n v="420000"/>
    <n v="0"/>
    <n v="420000"/>
    <n v="117847.62"/>
    <s v="Card"/>
  </r>
  <r>
    <s v="ORD-0015"/>
    <s v="2025-07-15"/>
    <s v="Customer 142"/>
    <s v="Printer"/>
    <s v="Technology"/>
    <x v="1"/>
    <n v="5"/>
    <n v="180000"/>
    <n v="0.1"/>
    <n v="810000"/>
    <n v="186425.21"/>
    <s v="Card"/>
  </r>
  <r>
    <s v="ORD-0016"/>
    <s v="2025-05-17"/>
    <s v="Customer 041"/>
    <s v="Standing Desk"/>
    <s v="Furniture"/>
    <x v="2"/>
    <n v="3"/>
    <n v="210000"/>
    <n v="0"/>
    <n v="630000"/>
    <n v="233575.63"/>
    <s v="Card"/>
  </r>
  <r>
    <s v="ORD-0017"/>
    <s v="2025-09-14"/>
    <s v="Customer 077"/>
    <s v="Desk Lamp"/>
    <s v="Furniture"/>
    <x v="0"/>
    <n v="2"/>
    <n v="35000"/>
    <n v="0.15"/>
    <n v="59500"/>
    <n v="3751.33"/>
    <s v="Bank Transfer"/>
  </r>
  <r>
    <s v="ORD-0018"/>
    <s v="2025-07-11"/>
    <s v="Customer 136"/>
    <s v="Wireless Headphones"/>
    <s v="Technology"/>
    <x v="1"/>
    <n v="2"/>
    <n v="85000"/>
    <n v="0.15"/>
    <n v="144500"/>
    <n v="7234.36"/>
    <s v="Cash"/>
  </r>
  <r>
    <s v="ORD-0019"/>
    <s v="2025-01-10"/>
    <s v="Customer 079"/>
    <s v="Backpack"/>
    <s v="Office Supplies"/>
    <x v="4"/>
    <n v="1"/>
    <n v="45000"/>
    <n v="0.05"/>
    <n v="42750"/>
    <n v="7323.53"/>
    <s v="Card"/>
  </r>
  <r>
    <s v="ORD-0020"/>
    <s v="2025-10-18"/>
    <s v="Customer 018"/>
    <s v="Office Chair"/>
    <s v="Furniture"/>
    <x v="0"/>
    <n v="1"/>
    <n v="120000"/>
    <n v="0"/>
    <n v="120000"/>
    <n v="30286.19"/>
    <s v="Bank Transfer"/>
  </r>
  <r>
    <s v="ORD-0021"/>
    <s v="2025-12-04"/>
    <s v="Customer 136"/>
    <s v="Wireless Headphones"/>
    <s v="Technology"/>
    <x v="0"/>
    <n v="4"/>
    <n v="85000"/>
    <n v="0.15"/>
    <n v="289000"/>
    <n v="86841.35"/>
    <s v="Mobile Money"/>
  </r>
  <r>
    <s v="ORD-0022"/>
    <s v="2025-10-04"/>
    <s v="Customer 096"/>
    <s v="Office Chair"/>
    <s v="Furniture"/>
    <x v="2"/>
    <n v="2"/>
    <n v="120000"/>
    <n v="0.2"/>
    <n v="192000"/>
    <n v="39800.78"/>
    <s v="Mobile Money"/>
  </r>
  <r>
    <s v="ORD-0023"/>
    <s v="2025-05-07"/>
    <s v="Customer 142"/>
    <s v="Smartphone X"/>
    <s v="Technology"/>
    <x v="4"/>
    <n v="2"/>
    <n v="420000"/>
    <n v="0"/>
    <n v="840000"/>
    <n v="301322.19"/>
    <s v="Bank Transfer"/>
  </r>
  <r>
    <s v="ORD-0024"/>
    <s v="2025-02-06"/>
    <s v="Customer 009"/>
    <s v="Laptop Pro 14"/>
    <s v="Technology"/>
    <x v="3"/>
    <n v="1"/>
    <n v="650000"/>
    <n v="0"/>
    <n v="650000"/>
    <n v="280671.24"/>
    <s v="Card"/>
  </r>
  <r>
    <s v="ORD-0025"/>
    <s v="2025-05-02"/>
    <s v="Customer 139"/>
    <s v="Standing Desk"/>
    <s v="Furniture"/>
    <x v="4"/>
    <n v="3"/>
    <n v="210000"/>
    <n v="0.2"/>
    <n v="504000"/>
    <n v="74930.990000000005"/>
    <s v="Mobile Money"/>
  </r>
  <r>
    <s v="ORD-0026"/>
    <s v="2025-08-31"/>
    <s v="Customer 111"/>
    <s v="Office Chair"/>
    <s v="Furniture"/>
    <x v="3"/>
    <n v="4"/>
    <n v="120000"/>
    <n v="0"/>
    <n v="480000"/>
    <n v="203775.38"/>
    <s v="Mobile Money"/>
  </r>
  <r>
    <s v="ORD-0027"/>
    <s v="2025-08-28"/>
    <s v="Customer 026"/>
    <s v="Printer"/>
    <s v="Technology"/>
    <x v="1"/>
    <n v="1"/>
    <n v="180000"/>
    <n v="0.2"/>
    <n v="144000"/>
    <n v="13242.06"/>
    <s v="Mobile Money"/>
  </r>
  <r>
    <s v="ORD-0028"/>
    <s v="2025-02-25"/>
    <s v="Customer 115"/>
    <s v="Notebook Pack"/>
    <s v="Office Supplies"/>
    <x v="4"/>
    <n v="2"/>
    <n v="12000"/>
    <n v="0"/>
    <n v="24000"/>
    <n v="9567.4500000000007"/>
    <s v="Mobile Money"/>
  </r>
  <r>
    <s v="ORD-0029"/>
    <s v="2025-05-23"/>
    <s v="Customer 020"/>
    <s v="Wireless Headphones"/>
    <s v="Technology"/>
    <x v="2"/>
    <n v="4"/>
    <n v="85000"/>
    <n v="0"/>
    <n v="340000"/>
    <n v="72722.19"/>
    <s v="Card"/>
  </r>
  <r>
    <s v="ORD-0030"/>
    <s v="2025-11-30"/>
    <s v="Customer 061"/>
    <s v="Laptop Pro 14"/>
    <s v="Technology"/>
    <x v="4"/>
    <n v="5"/>
    <n v="650000"/>
    <n v="0"/>
    <n v="3250000"/>
    <n v="612205.78"/>
    <s v="Mobile Money"/>
  </r>
  <r>
    <s v="ORD-0031"/>
    <s v="2025-09-04"/>
    <s v="Customer 043"/>
    <s v="Backpack"/>
    <s v="Office Supplies"/>
    <x v="2"/>
    <n v="2"/>
    <n v="45000"/>
    <n v="0.1"/>
    <n v="81000"/>
    <n v="9570.64"/>
    <s v="Card"/>
  </r>
  <r>
    <s v="ORD-0032"/>
    <s v="2025-05-16"/>
    <s v="Customer 143"/>
    <s v="Printer"/>
    <s v="Technology"/>
    <x v="2"/>
    <n v="4"/>
    <n v="180000"/>
    <n v="0.05"/>
    <n v="684000"/>
    <n v="205767.34"/>
    <s v="Bank Transfer"/>
  </r>
  <r>
    <s v="ORD-0033"/>
    <s v="2025-06-01"/>
    <s v="Customer 139"/>
    <s v="Office Chair"/>
    <s v="Furniture"/>
    <x v="1"/>
    <n v="2"/>
    <n v="120000"/>
    <n v="0"/>
    <n v="240000"/>
    <n v="70469.119999999995"/>
    <s v="Cash"/>
  </r>
  <r>
    <s v="ORD-0034"/>
    <s v="2025-01-26"/>
    <s v="Customer 136"/>
    <s v="Laptop Pro 14"/>
    <s v="Technology"/>
    <x v="4"/>
    <n v="5"/>
    <n v="650000"/>
    <n v="0.1"/>
    <n v="2925000"/>
    <n v="696248.79"/>
    <s v="Card"/>
  </r>
  <r>
    <s v="ORD-0035"/>
    <s v="2025-02-11"/>
    <s v="Customer 061"/>
    <s v="Standing Desk"/>
    <s v="Furniture"/>
    <x v="2"/>
    <n v="2"/>
    <n v="210000"/>
    <n v="0"/>
    <n v="420000"/>
    <n v="121523.02"/>
    <s v="Card"/>
  </r>
  <r>
    <s v="ORD-0036"/>
    <s v="2025-05-07"/>
    <s v="Customer 021"/>
    <s v="USB-C Hub"/>
    <s v="Technology"/>
    <x v="2"/>
    <n v="5"/>
    <n v="55000"/>
    <n v="0.15"/>
    <n v="233750"/>
    <n v="79549.179999999993"/>
    <s v="Cash"/>
  </r>
  <r>
    <s v="ORD-0037"/>
    <s v="2025-04-15"/>
    <s v="Customer 034"/>
    <s v="Desk Lamp"/>
    <s v="Furniture"/>
    <x v="3"/>
    <n v="3"/>
    <n v="35000"/>
    <n v="0"/>
    <n v="105000"/>
    <n v="39719.83"/>
    <s v="Mobile Money"/>
  </r>
  <r>
    <s v="ORD-0038"/>
    <s v="2025-02-07"/>
    <s v="Customer 145"/>
    <s v="Notebook Pack"/>
    <s v="Office Supplies"/>
    <x v="1"/>
    <n v="1"/>
    <n v="12000"/>
    <n v="0.1"/>
    <n v="10800"/>
    <n v="2187.44"/>
    <s v="Card"/>
  </r>
  <r>
    <s v="ORD-0039"/>
    <s v="2025-04-20"/>
    <s v="Customer 090"/>
    <s v="Standing Desk"/>
    <s v="Furniture"/>
    <x v="1"/>
    <n v="5"/>
    <n v="210000"/>
    <n v="0.05"/>
    <n v="997500"/>
    <n v="382448.56"/>
    <s v="Bank Transfer"/>
  </r>
  <r>
    <s v="ORD-0040"/>
    <s v="2025-05-26"/>
    <s v="Customer 078"/>
    <s v="Notebook Pack"/>
    <s v="Office Supplies"/>
    <x v="0"/>
    <n v="2"/>
    <n v="12000"/>
    <n v="0.1"/>
    <n v="21600"/>
    <n v="2997.33"/>
    <s v="Card"/>
  </r>
  <r>
    <s v="ORD-0041"/>
    <s v="2025-06-03"/>
    <s v="Customer 028"/>
    <s v="Standing Desk"/>
    <s v="Furniture"/>
    <x v="0"/>
    <n v="1"/>
    <n v="210000"/>
    <n v="0"/>
    <n v="210000"/>
    <n v="79504.78"/>
    <s v="Bank Transfer"/>
  </r>
  <r>
    <s v="ORD-0042"/>
    <s v="2025-05-25"/>
    <s v="Customer 053"/>
    <s v="Desk Lamp"/>
    <s v="Furniture"/>
    <x v="3"/>
    <n v="5"/>
    <n v="35000"/>
    <n v="0"/>
    <n v="175000"/>
    <n v="44842.82"/>
    <s v="Mobile Money"/>
  </r>
  <r>
    <s v="ORD-0043"/>
    <s v="2025-01-27"/>
    <s v="Customer 071"/>
    <s v="Desk Lamp"/>
    <s v="Furniture"/>
    <x v="1"/>
    <n v="1"/>
    <n v="35000"/>
    <n v="0.2"/>
    <n v="28000"/>
    <n v="4747.21"/>
    <s v="Card"/>
  </r>
  <r>
    <s v="ORD-0044"/>
    <s v="2025-03-08"/>
    <s v="Customer 142"/>
    <s v="Notebook Pack"/>
    <s v="Office Supplies"/>
    <x v="2"/>
    <n v="3"/>
    <n v="12000"/>
    <n v="0"/>
    <n v="36000"/>
    <n v="8995.24"/>
    <s v="Card"/>
  </r>
  <r>
    <s v="ORD-0045"/>
    <s v="2025-02-08"/>
    <s v="Customer 095"/>
    <s v="Smartphone X"/>
    <s v="Technology"/>
    <x v="0"/>
    <n v="2"/>
    <n v="420000"/>
    <n v="0.15"/>
    <n v="714000"/>
    <n v="243828.82"/>
    <s v="Bank Transfer"/>
  </r>
  <r>
    <s v="ORD-0046"/>
    <s v="2025-03-07"/>
    <s v="Customer 011"/>
    <s v="Printer"/>
    <s v="Technology"/>
    <x v="3"/>
    <n v="1"/>
    <n v="180000"/>
    <n v="0.05"/>
    <n v="171000"/>
    <n v="54277.94"/>
    <s v="Bank Transfer"/>
  </r>
  <r>
    <s v="ORD-0047"/>
    <s v="2025-12-08"/>
    <s v="Customer 105"/>
    <s v="Office Chair"/>
    <s v="Furniture"/>
    <x v="0"/>
    <n v="1"/>
    <n v="120000"/>
    <n v="0.05"/>
    <n v="114000"/>
    <n v="22724.23"/>
    <s v="Bank Transfer"/>
  </r>
  <r>
    <s v="ORD-0048"/>
    <s v="2025-03-25"/>
    <s v="Customer 086"/>
    <s v="Office Chair"/>
    <s v="Furniture"/>
    <x v="2"/>
    <n v="2"/>
    <n v="120000"/>
    <n v="0.1"/>
    <n v="216000"/>
    <n v="82393.84"/>
    <s v="Bank Transfer"/>
  </r>
  <r>
    <s v="ORD-0049"/>
    <s v="2025-03-23"/>
    <s v="Customer 121"/>
    <s v="Desk Lamp"/>
    <s v="Furniture"/>
    <x v="4"/>
    <n v="1"/>
    <n v="35000"/>
    <n v="0.1"/>
    <n v="31500"/>
    <n v="4008.02"/>
    <s v="Bank Transfer"/>
  </r>
  <r>
    <s v="ORD-0050"/>
    <s v="2025-06-29"/>
    <s v="Customer 050"/>
    <s v="Backpack"/>
    <s v="Office Supplies"/>
    <x v="2"/>
    <n v="3"/>
    <n v="45000"/>
    <n v="0"/>
    <n v="135000"/>
    <n v="52624.44"/>
    <s v="Cash"/>
  </r>
  <r>
    <s v="ORD-0051"/>
    <s v="2025-02-05"/>
    <s v="Customer 103"/>
    <s v="Desk Lamp"/>
    <s v="Furniture"/>
    <x v="0"/>
    <n v="3"/>
    <n v="35000"/>
    <n v="0.05"/>
    <n v="99750"/>
    <n v="23813.99"/>
    <s v="Cash"/>
  </r>
  <r>
    <s v="ORD-0052"/>
    <s v="2025-03-01"/>
    <s v="Customer 068"/>
    <s v="Laptop Pro 14"/>
    <s v="Technology"/>
    <x v="1"/>
    <n v="3"/>
    <n v="650000"/>
    <n v="0"/>
    <n v="1950000"/>
    <n v="571819.51"/>
    <s v="Card"/>
  </r>
  <r>
    <s v="ORD-0053"/>
    <s v="2025-08-11"/>
    <s v="Customer 112"/>
    <s v="USB-C Hub"/>
    <s v="Technology"/>
    <x v="0"/>
    <n v="3"/>
    <n v="55000"/>
    <n v="0.2"/>
    <n v="132000"/>
    <n v="6214.62"/>
    <s v="Card"/>
  </r>
  <r>
    <s v="ORD-0054"/>
    <s v="2025-10-23"/>
    <s v="Customer 112"/>
    <s v="Printer"/>
    <s v="Technology"/>
    <x v="1"/>
    <n v="2"/>
    <n v="180000"/>
    <n v="0.05"/>
    <n v="342000"/>
    <n v="139685.63"/>
    <s v="Bank Transfer"/>
  </r>
  <r>
    <s v="ORD-0055"/>
    <s v="2025-08-09"/>
    <s v="Customer 081"/>
    <s v="Notebook Pack"/>
    <s v="Office Supplies"/>
    <x v="1"/>
    <n v="1"/>
    <n v="12000"/>
    <n v="0.2"/>
    <n v="9600"/>
    <n v="16.7"/>
    <s v="Cash"/>
  </r>
  <r>
    <s v="ORD-0056"/>
    <s v="2025-06-08"/>
    <s v="Customer 076"/>
    <s v="Standing Desk"/>
    <s v="Furniture"/>
    <x v="0"/>
    <n v="4"/>
    <n v="210000"/>
    <n v="0.05"/>
    <n v="798000"/>
    <n v="244735.59"/>
    <s v="Bank Transfer"/>
  </r>
  <r>
    <s v="ORD-0057"/>
    <s v="2025-08-04"/>
    <s v="Customer 045"/>
    <s v="Office Chair"/>
    <s v="Furniture"/>
    <x v="0"/>
    <n v="4"/>
    <n v="120000"/>
    <n v="0.2"/>
    <n v="384000"/>
    <n v="23041.759999999998"/>
    <s v="Cash"/>
  </r>
  <r>
    <s v="ORD-0058"/>
    <s v="2025-10-08"/>
    <s v="Customer 111"/>
    <s v="Printer"/>
    <s v="Technology"/>
    <x v="0"/>
    <n v="1"/>
    <n v="180000"/>
    <n v="0.05"/>
    <n v="171000"/>
    <n v="58055.99"/>
    <s v="Cash"/>
  </r>
  <r>
    <s v="ORD-0059"/>
    <s v="2025-08-15"/>
    <s v="Customer 122"/>
    <s v="Backpack"/>
    <s v="Office Supplies"/>
    <x v="4"/>
    <n v="4"/>
    <n v="45000"/>
    <n v="0.2"/>
    <n v="144000"/>
    <n v="34614.11"/>
    <s v="Card"/>
  </r>
  <r>
    <s v="ORD-0060"/>
    <s v="2025-09-21"/>
    <s v="Customer 061"/>
    <s v="Desk Lamp"/>
    <s v="Furniture"/>
    <x v="3"/>
    <n v="5"/>
    <n v="35000"/>
    <n v="0.05"/>
    <n v="166250"/>
    <n v="65587.45"/>
    <s v="Bank Transfer"/>
  </r>
  <r>
    <s v="ORD-0061"/>
    <s v="2025-03-17"/>
    <s v="Customer 122"/>
    <s v="Office Chair"/>
    <s v="Furniture"/>
    <x v="0"/>
    <n v="1"/>
    <n v="120000"/>
    <n v="0"/>
    <n v="120000"/>
    <n v="46067.1"/>
    <s v="Card"/>
  </r>
  <r>
    <s v="ORD-0062"/>
    <s v="2025-08-01"/>
    <s v="Customer 099"/>
    <s v="Backpack"/>
    <s v="Office Supplies"/>
    <x v="2"/>
    <n v="5"/>
    <n v="45000"/>
    <n v="0"/>
    <n v="225000"/>
    <n v="57610.49"/>
    <s v="Mobile Money"/>
  </r>
  <r>
    <s v="ORD-0063"/>
    <s v="2025-03-17"/>
    <s v="Customer 057"/>
    <s v="Office Chair"/>
    <s v="Furniture"/>
    <x v="4"/>
    <n v="1"/>
    <n v="120000"/>
    <n v="0"/>
    <n v="120000"/>
    <n v="28779.18"/>
    <s v="Mobile Money"/>
  </r>
  <r>
    <s v="ORD-0064"/>
    <s v="2025-10-13"/>
    <s v="Customer 119"/>
    <s v="Laptop Pro 14"/>
    <s v="Technology"/>
    <x v="0"/>
    <n v="2"/>
    <n v="650000"/>
    <n v="0"/>
    <n v="1300000"/>
    <n v="424781.9"/>
    <s v="Cash"/>
  </r>
  <r>
    <s v="ORD-0065"/>
    <s v="2025-11-10"/>
    <s v="Customer 141"/>
    <s v="Backpack"/>
    <s v="Office Supplies"/>
    <x v="2"/>
    <n v="5"/>
    <n v="45000"/>
    <n v="0.1"/>
    <n v="202500"/>
    <n v="28292.92"/>
    <s v="Bank Transfer"/>
  </r>
  <r>
    <s v="ORD-0066"/>
    <s v="2025-08-19"/>
    <s v="Customer 071"/>
    <s v="Backpack"/>
    <s v="Office Supplies"/>
    <x v="0"/>
    <n v="3"/>
    <n v="45000"/>
    <n v="0"/>
    <n v="135000"/>
    <n v="30137"/>
    <s v="Mobile Money"/>
  </r>
  <r>
    <s v="ORD-0067"/>
    <s v="2025-05-21"/>
    <s v="Customer 061"/>
    <s v="Office Chair"/>
    <s v="Furniture"/>
    <x v="3"/>
    <n v="4"/>
    <n v="120000"/>
    <n v="0"/>
    <n v="480000"/>
    <n v="123524.59"/>
    <s v="Cash"/>
  </r>
  <r>
    <s v="ORD-0068"/>
    <s v="2025-10-04"/>
    <s v="Customer 099"/>
    <s v="Notebook Pack"/>
    <s v="Office Supplies"/>
    <x v="4"/>
    <n v="1"/>
    <n v="12000"/>
    <n v="0"/>
    <n v="12000"/>
    <n v="4911.3100000000004"/>
    <s v="Bank Transfer"/>
  </r>
  <r>
    <s v="ORD-0069"/>
    <s v="2025-08-01"/>
    <s v="Customer 107"/>
    <s v="Smartphone X"/>
    <s v="Technology"/>
    <x v="1"/>
    <n v="4"/>
    <n v="420000"/>
    <n v="0.05"/>
    <n v="1596000"/>
    <n v="425871.59"/>
    <s v="Bank Transfer"/>
  </r>
  <r>
    <s v="ORD-0070"/>
    <s v="2025-07-19"/>
    <s v="Customer 148"/>
    <s v="Printer"/>
    <s v="Technology"/>
    <x v="2"/>
    <n v="5"/>
    <n v="180000"/>
    <n v="0.2"/>
    <n v="720000"/>
    <n v="220253.73"/>
    <s v="Mobile Money"/>
  </r>
  <r>
    <s v="ORD-0071"/>
    <s v="2025-06-30"/>
    <s v="Customer 108"/>
    <s v="Laptop Pro 14"/>
    <s v="Technology"/>
    <x v="0"/>
    <n v="3"/>
    <n v="650000"/>
    <n v="0.1"/>
    <n v="1755000"/>
    <n v="233159.65"/>
    <s v="Bank Transfer"/>
  </r>
  <r>
    <s v="ORD-0072"/>
    <s v="2025-04-23"/>
    <s v="Customer 100"/>
    <s v="Backpack"/>
    <s v="Office Supplies"/>
    <x v="3"/>
    <n v="3"/>
    <n v="45000"/>
    <n v="0.1"/>
    <n v="121500"/>
    <n v="29548.35"/>
    <s v="Mobile Money"/>
  </r>
  <r>
    <s v="ORD-0073"/>
    <s v="2025-08-28"/>
    <s v="Customer 101"/>
    <s v="Wireless Headphones"/>
    <s v="Technology"/>
    <x v="0"/>
    <n v="2"/>
    <n v="85000"/>
    <n v="0.15"/>
    <n v="144500"/>
    <n v="26483.73"/>
    <s v="Card"/>
  </r>
  <r>
    <s v="ORD-0074"/>
    <s v="2025-11-26"/>
    <s v="Customer 047"/>
    <s v="Smartphone X"/>
    <s v="Technology"/>
    <x v="1"/>
    <n v="4"/>
    <n v="420000"/>
    <n v="0"/>
    <n v="1680000"/>
    <n v="362796.23"/>
    <s v="Cash"/>
  </r>
  <r>
    <s v="ORD-0075"/>
    <s v="2025-06-17"/>
    <s v="Customer 098"/>
    <s v="Printer"/>
    <s v="Technology"/>
    <x v="3"/>
    <n v="2"/>
    <n v="180000"/>
    <n v="0.1"/>
    <n v="324000"/>
    <n v="94230.59"/>
    <s v="Mobile Money"/>
  </r>
  <r>
    <s v="ORD-0076"/>
    <s v="2025-02-11"/>
    <s v="Customer 014"/>
    <s v="Desk Lamp"/>
    <s v="Furniture"/>
    <x v="3"/>
    <n v="4"/>
    <n v="35000"/>
    <n v="0"/>
    <n v="140000"/>
    <n v="34686.879999999997"/>
    <s v="Bank Transfer"/>
  </r>
  <r>
    <s v="ORD-0077"/>
    <s v="2025-11-30"/>
    <s v="Customer 052"/>
    <s v="Smartphone X"/>
    <s v="Technology"/>
    <x v="1"/>
    <n v="1"/>
    <n v="420000"/>
    <n v="0"/>
    <n v="420000"/>
    <n v="81314.03"/>
    <s v="Bank Transfer"/>
  </r>
  <r>
    <s v="ORD-0078"/>
    <s v="2025-03-06"/>
    <s v="Customer 056"/>
    <s v="Office Chair"/>
    <s v="Furniture"/>
    <x v="2"/>
    <n v="4"/>
    <n v="120000"/>
    <n v="0.2"/>
    <n v="384000"/>
    <n v="105175.13"/>
    <s v="Cash"/>
  </r>
  <r>
    <s v="ORD-0079"/>
    <s v="2025-03-27"/>
    <s v="Customer 030"/>
    <s v="Notebook Pack"/>
    <s v="Office Supplies"/>
    <x v="4"/>
    <n v="5"/>
    <n v="12000"/>
    <n v="0.15"/>
    <n v="51000"/>
    <n v="2387.5"/>
    <s v="Cash"/>
  </r>
  <r>
    <s v="ORD-0080"/>
    <s v="2025-10-24"/>
    <s v="Customer 097"/>
    <s v="Smartphone X"/>
    <s v="Technology"/>
    <x v="2"/>
    <n v="1"/>
    <n v="420000"/>
    <n v="0.05"/>
    <n v="399000"/>
    <n v="102704.65"/>
    <s v="Bank Transfer"/>
  </r>
  <r>
    <s v="ORD-0081"/>
    <s v="2025-10-31"/>
    <s v="Customer 078"/>
    <s v="Smartphone X"/>
    <s v="Technology"/>
    <x v="0"/>
    <n v="2"/>
    <n v="420000"/>
    <n v="0"/>
    <n v="840000"/>
    <n v="219876.63"/>
    <s v="Card"/>
  </r>
  <r>
    <s v="ORD-0082"/>
    <s v="2025-01-22"/>
    <s v="Customer 095"/>
    <s v="USB-C Hub"/>
    <s v="Technology"/>
    <x v="1"/>
    <n v="3"/>
    <n v="55000"/>
    <n v="0.15"/>
    <n v="140250"/>
    <n v="30415.759999999998"/>
    <s v="Cash"/>
  </r>
  <r>
    <s v="ORD-0083"/>
    <s v="2025-08-04"/>
    <s v="Customer 093"/>
    <s v="Laptop Pro 14"/>
    <s v="Technology"/>
    <x v="2"/>
    <n v="4"/>
    <n v="650000"/>
    <n v="0"/>
    <n v="2600000"/>
    <n v="865666.57"/>
    <s v="Bank Transfer"/>
  </r>
  <r>
    <s v="ORD-0084"/>
    <s v="2025-04-01"/>
    <s v="Customer 138"/>
    <s v="Printer"/>
    <s v="Technology"/>
    <x v="2"/>
    <n v="5"/>
    <n v="180000"/>
    <n v="0.2"/>
    <n v="720000"/>
    <n v="159369.98000000001"/>
    <s v="Mobile Money"/>
  </r>
  <r>
    <s v="ORD-0085"/>
    <s v="2025-10-31"/>
    <s v="Customer 023"/>
    <s v="Printer"/>
    <s v="Technology"/>
    <x v="3"/>
    <n v="3"/>
    <n v="180000"/>
    <n v="0.05"/>
    <n v="513000"/>
    <n v="91820.22"/>
    <s v="Bank Transfer"/>
  </r>
  <r>
    <s v="ORD-0086"/>
    <s v="2025-08-26"/>
    <s v="Customer 087"/>
    <s v="Office Chair"/>
    <s v="Furniture"/>
    <x v="1"/>
    <n v="5"/>
    <n v="120000"/>
    <n v="0.15"/>
    <n v="510000"/>
    <n v="71753.47"/>
    <s v="Mobile Money"/>
  </r>
  <r>
    <s v="ORD-0087"/>
    <s v="2025-04-04"/>
    <s v="Customer 067"/>
    <s v="Notebook Pack"/>
    <s v="Office Supplies"/>
    <x v="3"/>
    <n v="4"/>
    <n v="12000"/>
    <n v="0"/>
    <n v="48000"/>
    <n v="17001.47"/>
    <s v="Cash"/>
  </r>
  <r>
    <s v="ORD-0088"/>
    <s v="2025-12-26"/>
    <s v="Customer 049"/>
    <s v="USB-C Hub"/>
    <s v="Technology"/>
    <x v="1"/>
    <n v="3"/>
    <n v="55000"/>
    <n v="0.15"/>
    <n v="140250"/>
    <n v="49047.77"/>
    <s v="Bank Transfer"/>
  </r>
  <r>
    <s v="ORD-0089"/>
    <s v="2025-09-08"/>
    <s v="Customer 126"/>
    <s v="Printer"/>
    <s v="Technology"/>
    <x v="2"/>
    <n v="5"/>
    <n v="180000"/>
    <n v="0"/>
    <n v="900000"/>
    <n v="237181.93"/>
    <s v="Card"/>
  </r>
  <r>
    <s v="ORD-0090"/>
    <s v="2025-05-31"/>
    <s v="Customer 079"/>
    <s v="Smartphone X"/>
    <s v="Technology"/>
    <x v="0"/>
    <n v="2"/>
    <n v="420000"/>
    <n v="0.1"/>
    <n v="756000"/>
    <n v="137102.67000000001"/>
    <s v="Cash"/>
  </r>
  <r>
    <s v="ORD-0091"/>
    <s v="2025-10-11"/>
    <s v="Customer 141"/>
    <s v="Backpack"/>
    <s v="Office Supplies"/>
    <x v="3"/>
    <n v="5"/>
    <n v="45000"/>
    <n v="0.05"/>
    <n v="213750"/>
    <n v="64150.64"/>
    <s v="Cash"/>
  </r>
  <r>
    <s v="ORD-0092"/>
    <s v="2025-05-19"/>
    <s v="Customer 050"/>
    <s v="Backpack"/>
    <s v="Office Supplies"/>
    <x v="3"/>
    <n v="3"/>
    <n v="45000"/>
    <n v="0.05"/>
    <n v="128250"/>
    <n v="45596.89"/>
    <s v="Card"/>
  </r>
  <r>
    <s v="ORD-0093"/>
    <s v="2025-12-20"/>
    <s v="Customer 124"/>
    <s v="Standing Desk"/>
    <s v="Furniture"/>
    <x v="3"/>
    <n v="2"/>
    <n v="210000"/>
    <n v="0"/>
    <n v="420000"/>
    <n v="164461.98000000001"/>
    <s v="Cash"/>
  </r>
  <r>
    <s v="ORD-0094"/>
    <s v="2025-04-10"/>
    <s v="Customer 078"/>
    <s v="Smartphone X"/>
    <s v="Technology"/>
    <x v="1"/>
    <n v="3"/>
    <n v="420000"/>
    <n v="0"/>
    <n v="1260000"/>
    <n v="444228.26"/>
    <s v="Bank Transfer"/>
  </r>
  <r>
    <s v="ORD-0095"/>
    <s v="2025-01-24"/>
    <s v="Customer 033"/>
    <s v="Desk Lamp"/>
    <s v="Furniture"/>
    <x v="2"/>
    <n v="1"/>
    <n v="35000"/>
    <n v="0.15"/>
    <n v="29750"/>
    <n v="7739.31"/>
    <s v="Card"/>
  </r>
  <r>
    <s v="ORD-0096"/>
    <s v="2025-10-21"/>
    <s v="Customer 088"/>
    <s v="Laptop Pro 14"/>
    <s v="Technology"/>
    <x v="4"/>
    <n v="3"/>
    <n v="650000"/>
    <n v="0.1"/>
    <n v="1755000"/>
    <n v="430456.97"/>
    <s v="Card"/>
  </r>
  <r>
    <s v="ORD-0097"/>
    <s v="2025-09-02"/>
    <s v="Customer 019"/>
    <s v="Desk Lamp"/>
    <s v="Furniture"/>
    <x v="0"/>
    <n v="1"/>
    <n v="35000"/>
    <n v="0"/>
    <n v="35000"/>
    <n v="11963.31"/>
    <s v="Card"/>
  </r>
  <r>
    <s v="ORD-0098"/>
    <s v="2025-03-18"/>
    <s v="Customer 064"/>
    <s v="Wireless Headphones"/>
    <s v="Technology"/>
    <x v="1"/>
    <n v="5"/>
    <n v="85000"/>
    <n v="0.05"/>
    <n v="403750"/>
    <n v="160225.49"/>
    <s v="Mobile Money"/>
  </r>
  <r>
    <s v="ORD-0099"/>
    <s v="2025-11-02"/>
    <s v="Customer 098"/>
    <s v="USB-C Hub"/>
    <s v="Technology"/>
    <x v="2"/>
    <n v="5"/>
    <n v="55000"/>
    <n v="0"/>
    <n v="275000"/>
    <n v="66154.75"/>
    <s v="Mobile Money"/>
  </r>
  <r>
    <s v="ORD-0100"/>
    <s v="2025-10-29"/>
    <s v="Customer 016"/>
    <s v="Desk Lamp"/>
    <s v="Furniture"/>
    <x v="0"/>
    <n v="4"/>
    <n v="35000"/>
    <n v="0.05"/>
    <n v="133000"/>
    <n v="34505.81"/>
    <s v="Card"/>
  </r>
  <r>
    <s v="ORD-0101"/>
    <s v="2025-11-17"/>
    <s v="Customer 041"/>
    <s v="Office Chair"/>
    <s v="Furniture"/>
    <x v="4"/>
    <n v="2"/>
    <n v="120000"/>
    <n v="0.05"/>
    <n v="228000"/>
    <n v="53204.26"/>
    <s v="Bank Transfer"/>
  </r>
  <r>
    <s v="ORD-0102"/>
    <s v="2025-02-08"/>
    <s v="Customer 121"/>
    <s v="Standing Desk"/>
    <s v="Furniture"/>
    <x v="3"/>
    <n v="2"/>
    <n v="210000"/>
    <n v="0"/>
    <n v="420000"/>
    <n v="142674.10999999999"/>
    <s v="Card"/>
  </r>
  <r>
    <s v="ORD-0103"/>
    <s v="2025-05-28"/>
    <s v="Customer 019"/>
    <s v="Office Chair"/>
    <s v="Furniture"/>
    <x v="4"/>
    <n v="3"/>
    <n v="120000"/>
    <n v="0.2"/>
    <n v="288000"/>
    <n v="6446.23"/>
    <s v="Cash"/>
  </r>
  <r>
    <s v="ORD-0104"/>
    <s v="2025-12-05"/>
    <s v="Customer 058"/>
    <s v="USB-C Hub"/>
    <s v="Technology"/>
    <x v="4"/>
    <n v="2"/>
    <n v="55000"/>
    <n v="0.1"/>
    <n v="99000"/>
    <n v="35091.14"/>
    <s v="Cash"/>
  </r>
  <r>
    <s v="ORD-0105"/>
    <s v="2025-02-06"/>
    <s v="Customer 146"/>
    <s v="Wireless Headphones"/>
    <s v="Technology"/>
    <x v="3"/>
    <n v="1"/>
    <n v="85000"/>
    <n v="0"/>
    <n v="85000"/>
    <n v="20059.169999999998"/>
    <s v="Mobile Money"/>
  </r>
  <r>
    <s v="ORD-0106"/>
    <s v="2025-08-28"/>
    <s v="Customer 070"/>
    <s v="Smartphone X"/>
    <s v="Technology"/>
    <x v="0"/>
    <n v="3"/>
    <n v="420000"/>
    <n v="0.2"/>
    <n v="1008000"/>
    <n v="178066.6"/>
    <s v="Mobile Money"/>
  </r>
  <r>
    <s v="ORD-0107"/>
    <s v="2025-02-11"/>
    <s v="Customer 083"/>
    <s v="Backpack"/>
    <s v="Office Supplies"/>
    <x v="0"/>
    <n v="5"/>
    <n v="45000"/>
    <n v="0"/>
    <n v="225000"/>
    <n v="47217.56"/>
    <s v="Cash"/>
  </r>
  <r>
    <s v="ORD-0108"/>
    <s v="2025-02-16"/>
    <s v="Customer 148"/>
    <s v="Laptop Pro 14"/>
    <s v="Technology"/>
    <x v="0"/>
    <n v="2"/>
    <n v="650000"/>
    <n v="0.2"/>
    <n v="1040000"/>
    <n v="31578.53"/>
    <s v="Card"/>
  </r>
  <r>
    <s v="ORD-0109"/>
    <s v="2025-10-23"/>
    <s v="Customer 114"/>
    <s v="Desk Lamp"/>
    <s v="Furniture"/>
    <x v="3"/>
    <n v="1"/>
    <n v="35000"/>
    <n v="0"/>
    <n v="35000"/>
    <n v="11303.77"/>
    <s v="Bank Transfer"/>
  </r>
  <r>
    <s v="ORD-0110"/>
    <s v="2025-08-12"/>
    <s v="Customer 105"/>
    <s v="USB-C Hub"/>
    <s v="Technology"/>
    <x v="3"/>
    <n v="4"/>
    <n v="55000"/>
    <n v="0"/>
    <n v="220000"/>
    <n v="71081.38"/>
    <s v="Cash"/>
  </r>
  <r>
    <s v="ORD-0111"/>
    <s v="2025-03-24"/>
    <s v="Customer 074"/>
    <s v="Smartphone X"/>
    <s v="Technology"/>
    <x v="2"/>
    <n v="3"/>
    <n v="420000"/>
    <n v="0.1"/>
    <n v="1134000"/>
    <n v="205012.22"/>
    <s v="Card"/>
  </r>
  <r>
    <s v="ORD-0112"/>
    <s v="2025-02-15"/>
    <s v="Customer 104"/>
    <s v="Backpack"/>
    <s v="Office Supplies"/>
    <x v="0"/>
    <n v="3"/>
    <n v="45000"/>
    <n v="0.05"/>
    <n v="128250"/>
    <n v="42216.67"/>
    <s v="Card"/>
  </r>
  <r>
    <s v="ORD-0113"/>
    <s v="2025-08-25"/>
    <s v="Customer 093"/>
    <s v="Standing Desk"/>
    <s v="Furniture"/>
    <x v="0"/>
    <n v="4"/>
    <n v="210000"/>
    <n v="0"/>
    <n v="840000"/>
    <n v="335456.28000000003"/>
    <s v="Mobile Money"/>
  </r>
  <r>
    <s v="ORD-0114"/>
    <s v="2025-01-27"/>
    <s v="Customer 074"/>
    <s v="Backpack"/>
    <s v="Office Supplies"/>
    <x v="2"/>
    <n v="2"/>
    <n v="45000"/>
    <n v="0.05"/>
    <n v="85500"/>
    <n v="22653.96"/>
    <s v="Mobile Money"/>
  </r>
  <r>
    <s v="ORD-0115"/>
    <s v="2025-01-15"/>
    <s v="Customer 080"/>
    <s v="Smartphone X"/>
    <s v="Technology"/>
    <x v="0"/>
    <n v="5"/>
    <n v="420000"/>
    <n v="0"/>
    <n v="2100000"/>
    <n v="542553.14"/>
    <s v="Card"/>
  </r>
  <r>
    <s v="ORD-0116"/>
    <s v="2025-07-28"/>
    <s v="Customer 030"/>
    <s v="Standing Desk"/>
    <s v="Furniture"/>
    <x v="2"/>
    <n v="1"/>
    <n v="210000"/>
    <n v="0"/>
    <n v="210000"/>
    <n v="38239.019999999997"/>
    <s v="Card"/>
  </r>
  <r>
    <s v="ORD-0117"/>
    <s v="2025-09-13"/>
    <s v="Customer 107"/>
    <s v="Wireless Headphones"/>
    <s v="Technology"/>
    <x v="2"/>
    <n v="3"/>
    <n v="85000"/>
    <n v="0.15"/>
    <n v="216750"/>
    <n v="27932.41"/>
    <s v="Mobile Money"/>
  </r>
  <r>
    <s v="ORD-0118"/>
    <s v="2025-08-22"/>
    <s v="Customer 131"/>
    <s v="Office Chair"/>
    <s v="Furniture"/>
    <x v="4"/>
    <n v="5"/>
    <n v="120000"/>
    <n v="0"/>
    <n v="600000"/>
    <n v="207859.07"/>
    <s v="Card"/>
  </r>
  <r>
    <s v="ORD-0119"/>
    <s v="2025-08-01"/>
    <s v="Customer 001"/>
    <s v="Desk Lamp"/>
    <s v="Furniture"/>
    <x v="3"/>
    <n v="3"/>
    <n v="35000"/>
    <n v="0.15"/>
    <n v="89250"/>
    <n v="23925.66"/>
    <s v="Cash"/>
  </r>
  <r>
    <s v="ORD-0120"/>
    <s v="2025-10-24"/>
    <s v="Customer 124"/>
    <s v="USB-C Hub"/>
    <s v="Technology"/>
    <x v="3"/>
    <n v="4"/>
    <n v="55000"/>
    <n v="0"/>
    <n v="220000"/>
    <n v="72475.08"/>
    <s v="Cash"/>
  </r>
  <r>
    <s v="ORD-0121"/>
    <s v="2025-10-06"/>
    <s v="Customer 049"/>
    <s v="Standing Desk"/>
    <s v="Furniture"/>
    <x v="4"/>
    <n v="4"/>
    <n v="210000"/>
    <n v="0.1"/>
    <n v="756000"/>
    <n v="82429.11"/>
    <s v="Mobile Money"/>
  </r>
  <r>
    <s v="ORD-0122"/>
    <s v="2025-07-30"/>
    <s v="Customer 098"/>
    <s v="Office Chair"/>
    <s v="Furniture"/>
    <x v="2"/>
    <n v="1"/>
    <n v="120000"/>
    <n v="0.05"/>
    <n v="114000"/>
    <n v="23871.55"/>
    <s v="Bank Transfer"/>
  </r>
  <r>
    <s v="ORD-0123"/>
    <s v="2025-01-19"/>
    <s v="Customer 085"/>
    <s v="Backpack"/>
    <s v="Office Supplies"/>
    <x v="1"/>
    <n v="2"/>
    <n v="45000"/>
    <n v="0.15"/>
    <n v="76500"/>
    <n v="3541.91"/>
    <s v="Mobile Money"/>
  </r>
  <r>
    <s v="ORD-0124"/>
    <s v="2025-09-27"/>
    <s v="Customer 105"/>
    <s v="Smartphone X"/>
    <s v="Technology"/>
    <x v="4"/>
    <n v="4"/>
    <n v="420000"/>
    <n v="0"/>
    <n v="1680000"/>
    <n v="428299.48"/>
    <s v="Card"/>
  </r>
  <r>
    <s v="ORD-0125"/>
    <s v="2025-05-16"/>
    <s v="Customer 021"/>
    <s v="Backpack"/>
    <s v="Office Supplies"/>
    <x v="3"/>
    <n v="3"/>
    <n v="45000"/>
    <n v="0.15"/>
    <n v="114750"/>
    <n v="15250.92"/>
    <s v="Mobile Money"/>
  </r>
  <r>
    <s v="ORD-0126"/>
    <s v="2025-11-17"/>
    <s v="Customer 018"/>
    <s v="Notebook Pack"/>
    <s v="Office Supplies"/>
    <x v="4"/>
    <n v="4"/>
    <n v="12000"/>
    <n v="0.15"/>
    <n v="40800"/>
    <n v="13934.75"/>
    <s v="Cash"/>
  </r>
  <r>
    <s v="ORD-0127"/>
    <s v="2025-02-16"/>
    <m/>
    <s v="Office Chair"/>
    <s v="Furniture"/>
    <x v="2"/>
    <n v="4"/>
    <n v="120000"/>
    <n v="0"/>
    <n v="480000"/>
    <n v="117456.09"/>
    <s v="Bank Transfer"/>
  </r>
  <r>
    <s v="ORD-0128"/>
    <s v="2025-01-15"/>
    <s v="Customer 076"/>
    <s v="Desk Lamp"/>
    <s v="Furniture"/>
    <x v="3"/>
    <n v="1"/>
    <n v="35000"/>
    <n v="0.05"/>
    <n v="33250"/>
    <n v="6476.44"/>
    <s v="Cash"/>
  </r>
  <r>
    <s v="ORD-0129"/>
    <s v="2025-03-16"/>
    <s v="Customer 047"/>
    <s v="Printer"/>
    <s v="Technology"/>
    <x v="4"/>
    <n v="2"/>
    <n v="180000"/>
    <n v="0.15"/>
    <n v="306000"/>
    <n v="67948.570000000007"/>
    <s v="Bank Transfer"/>
  </r>
  <r>
    <s v="ORD-0130"/>
    <s v="2025-11-09"/>
    <s v="Customer 128"/>
    <s v="Smartphone X"/>
    <s v="Technology"/>
    <x v="0"/>
    <n v="4"/>
    <n v="420000"/>
    <n v="0.15"/>
    <n v="1428000"/>
    <n v="194130.15"/>
    <s v="Bank Transfer"/>
  </r>
  <r>
    <s v="ORD-0131"/>
    <s v="2025-08-25"/>
    <s v="Customer 003"/>
    <s v="Office Chair"/>
    <s v="Furniture"/>
    <x v="2"/>
    <n v="3"/>
    <n v="120000"/>
    <n v="0.1"/>
    <n v="324000"/>
    <n v="101182.24"/>
    <s v="Cash"/>
  </r>
  <r>
    <s v="ORD-0132"/>
    <s v="2025-03-22"/>
    <s v="Customer 077"/>
    <s v="Standing Desk"/>
    <s v="Furniture"/>
    <x v="2"/>
    <n v="1"/>
    <n v="210000"/>
    <n v="0.1"/>
    <n v="189000"/>
    <n v="19905.14"/>
    <s v="Cash"/>
  </r>
  <r>
    <s v="ORD-0133"/>
    <s v="2025-06-04"/>
    <s v="Customer 028"/>
    <s v="Backpack"/>
    <s v="Office Supplies"/>
    <x v="4"/>
    <n v="2"/>
    <n v="45000"/>
    <n v="0.1"/>
    <n v="81000"/>
    <n v="10763.95"/>
    <s v="Mobile Money"/>
  </r>
  <r>
    <s v="ORD-0134"/>
    <s v="2025-07-03"/>
    <s v="Customer 076"/>
    <s v="USB-C Hub"/>
    <s v="Technology"/>
    <x v="1"/>
    <n v="5"/>
    <n v="55000"/>
    <n v="0.05"/>
    <n v="261250"/>
    <n v="36292.620000000003"/>
    <s v="Mobile Money"/>
  </r>
  <r>
    <s v="ORD-0135"/>
    <s v="2025-01-05"/>
    <s v="Customer 013"/>
    <s v="Desk Lamp"/>
    <s v="Furniture"/>
    <x v="0"/>
    <n v="5"/>
    <n v="35000"/>
    <n v="0.2"/>
    <n v="140000"/>
    <n v="6974.78"/>
    <s v="Mobile Money"/>
  </r>
  <r>
    <s v="ORD-0136"/>
    <s v="2025-04-28"/>
    <s v="Customer 049"/>
    <s v="Desk Lamp"/>
    <s v="Furniture"/>
    <x v="0"/>
    <n v="5"/>
    <n v="35000"/>
    <n v="0.05"/>
    <n v="166250"/>
    <n v="59652.04"/>
    <s v="Cash"/>
  </r>
  <r>
    <s v="ORD-0137"/>
    <s v="2025-11-18"/>
    <s v="Customer 080"/>
    <s v="Wireless Headphones"/>
    <s v="Technology"/>
    <x v="2"/>
    <n v="1"/>
    <n v="85000"/>
    <n v="0.2"/>
    <n v="68000"/>
    <n v="6416.48"/>
    <s v="Card"/>
  </r>
  <r>
    <s v="ORD-0138"/>
    <s v="2025-07-06"/>
    <s v="Customer 084"/>
    <s v="USB-C Hub"/>
    <s v="Technology"/>
    <x v="2"/>
    <n v="2"/>
    <n v="55000"/>
    <n v="0"/>
    <n v="110000"/>
    <n v="22484.05"/>
    <s v="Bank Transfer"/>
  </r>
  <r>
    <s v="ORD-0139"/>
    <s v="2025-03-09"/>
    <s v="Customer 070"/>
    <s v="Office Chair"/>
    <s v="Furniture"/>
    <x v="4"/>
    <n v="5"/>
    <n v="120000"/>
    <n v="0.05"/>
    <n v="570000"/>
    <n v="154001.92000000001"/>
    <s v="Cash"/>
  </r>
  <r>
    <s v="ORD-0140"/>
    <s v="2025-06-01"/>
    <s v="Customer 020"/>
    <s v="Backpack"/>
    <s v="Office Supplies"/>
    <x v="4"/>
    <n v="3"/>
    <n v="45000"/>
    <n v="0"/>
    <n v="135000"/>
    <n v="43679.32"/>
    <s v="Bank Transfer"/>
  </r>
  <r>
    <s v="ORD-0141"/>
    <s v="2025-10-13"/>
    <s v="Customer 004"/>
    <s v="Printer"/>
    <s v="Technology"/>
    <x v="3"/>
    <n v="3"/>
    <n v="180000"/>
    <n v="0"/>
    <n v="540000"/>
    <n v="127718.57"/>
    <s v="Card"/>
  </r>
  <r>
    <s v="ORD-0142"/>
    <s v="2025-07-08"/>
    <s v="Customer 096"/>
    <s v="Backpack"/>
    <s v="Office Supplies"/>
    <x v="1"/>
    <n v="3"/>
    <n v="45000"/>
    <n v="0.15"/>
    <n v="114750"/>
    <n v="26611.62"/>
    <s v="Bank Transfer"/>
  </r>
  <r>
    <s v="ORD-0143"/>
    <s v="2025-01-13"/>
    <s v="Customer 057"/>
    <s v="Backpack"/>
    <s v="Office Supplies"/>
    <x v="1"/>
    <n v="5"/>
    <n v="45000"/>
    <n v="0.15"/>
    <n v="191250"/>
    <n v="47573.62"/>
    <s v="Mobile Money"/>
  </r>
  <r>
    <s v="ORD-0144"/>
    <s v="2025-11-29"/>
    <s v="Customer 010"/>
    <s v="Desk Lamp"/>
    <s v="Furniture"/>
    <x v="3"/>
    <n v="4"/>
    <n v="35000"/>
    <n v="0"/>
    <n v="140000"/>
    <n v="57716.43"/>
    <s v="Mobile Money"/>
  </r>
  <r>
    <s v="ORD-0145"/>
    <s v="2025-02-19"/>
    <s v="Customer 117"/>
    <s v="Smartphone X"/>
    <s v="Technology"/>
    <x v="3"/>
    <n v="2"/>
    <n v="420000"/>
    <n v="0.15"/>
    <n v="714000"/>
    <n v="221231.39"/>
    <s v="Mobile Money"/>
  </r>
  <r>
    <s v="ORD-0146"/>
    <s v="2025-03-21"/>
    <s v="Customer 126"/>
    <s v="USB-C Hub"/>
    <s v="Technology"/>
    <x v="0"/>
    <n v="4"/>
    <n v="55000"/>
    <n v="0.2"/>
    <n v="176000"/>
    <n v="49118.11"/>
    <s v="Mobile Money"/>
  </r>
  <r>
    <s v="ORD-0147"/>
    <s v="2025-01-17"/>
    <s v="Customer 061"/>
    <s v="Desk Lamp"/>
    <s v="Furniture"/>
    <x v="3"/>
    <n v="3"/>
    <n v="35000"/>
    <n v="0"/>
    <n v="105000"/>
    <n v="34680.089999999997"/>
    <s v="Card"/>
  </r>
  <r>
    <s v="ORD-0148"/>
    <s v="2025-10-06"/>
    <s v="Customer 049"/>
    <s v="Notebook Pack"/>
    <s v="Office Supplies"/>
    <x v="1"/>
    <n v="3"/>
    <n v="12000"/>
    <n v="0"/>
    <n v="36000"/>
    <n v="12330.08"/>
    <s v="Mobile Money"/>
  </r>
  <r>
    <s v="ORD-0149"/>
    <s v="2025-12-06"/>
    <s v="Customer 006"/>
    <s v="Smartphone X"/>
    <s v="Technology"/>
    <x v="1"/>
    <n v="2"/>
    <n v="420000"/>
    <n v="0.2"/>
    <n v="672000"/>
    <n v="64963.01"/>
    <s v="Cash"/>
  </r>
  <r>
    <s v="ORD-0150"/>
    <s v="2025-03-06"/>
    <s v="Customer 142"/>
    <s v="Office Chair"/>
    <s v="Furniture"/>
    <x v="4"/>
    <n v="5"/>
    <n v="120000"/>
    <n v="0"/>
    <n v="600000"/>
    <n v="258885.16"/>
    <s v="Bank Transfer"/>
  </r>
  <r>
    <s v="ORD-0151"/>
    <s v="2025-06-18"/>
    <s v="Customer 038"/>
    <s v="Office Chair"/>
    <s v="Furniture"/>
    <x v="4"/>
    <n v="2"/>
    <n v="120000"/>
    <n v="0.15"/>
    <n v="204000"/>
    <n v="71816.259999999995"/>
    <s v="Cash"/>
  </r>
  <r>
    <s v="ORD-0152"/>
    <s v="2025-02-26"/>
    <s v="Customer 061"/>
    <s v="Wireless Headphones"/>
    <s v="Technology"/>
    <x v="0"/>
    <n v="1"/>
    <n v="85000"/>
    <n v="0"/>
    <n v="85000"/>
    <n v="37908.959999999999"/>
    <s v="Cash"/>
  </r>
  <r>
    <s v="ORD-0153"/>
    <s v="2025-03-31"/>
    <s v="Customer 108"/>
    <s v="Laptop Pro 14"/>
    <s v="Technology"/>
    <x v="0"/>
    <n v="3"/>
    <n v="650000"/>
    <n v="0"/>
    <n v="1950000"/>
    <n v="810761.63"/>
    <s v="Card"/>
  </r>
  <r>
    <s v="ORD-0154"/>
    <s v="2025-09-01"/>
    <s v="Customer 028"/>
    <s v="Smartphone X"/>
    <s v="Technology"/>
    <x v="2"/>
    <n v="4"/>
    <n v="420000"/>
    <n v="0.05"/>
    <n v="1596000"/>
    <n v="439195.26"/>
    <s v="Bank Transfer"/>
  </r>
  <r>
    <s v="ORD-0155"/>
    <s v="2025-01-23"/>
    <s v="Customer 008"/>
    <s v="USB-C Hub"/>
    <s v="Technology"/>
    <x v="1"/>
    <n v="5"/>
    <n v="55000"/>
    <n v="0.05"/>
    <n v="261250"/>
    <n v="75990.34"/>
    <s v="Mobile Money"/>
  </r>
  <r>
    <s v="ORD-0156"/>
    <s v="2025-08-07"/>
    <s v="Customer 114"/>
    <s v="Printer"/>
    <s v="Technology"/>
    <x v="1"/>
    <n v="1"/>
    <n v="180000"/>
    <n v="0.1"/>
    <n v="162000"/>
    <n v="28377.3"/>
    <s v="Card"/>
  </r>
  <r>
    <s v="ORD-0157"/>
    <s v="2025-11-08"/>
    <s v="Customer 150"/>
    <s v="Notebook Pack"/>
    <s v="Office Supplies"/>
    <x v="0"/>
    <n v="2"/>
    <n v="12000"/>
    <n v="0"/>
    <n v="24000"/>
    <n v="9982.2800000000007"/>
    <s v="Cash"/>
  </r>
  <r>
    <s v="ORD-0158"/>
    <s v="2025-11-02"/>
    <s v="Customer 111"/>
    <s v="Printer"/>
    <s v="Technology"/>
    <x v="1"/>
    <n v="5"/>
    <n v="180000"/>
    <n v="0.05"/>
    <n v="855000"/>
    <n v="249747.15"/>
    <s v="Card"/>
  </r>
  <r>
    <s v="ORD-0159"/>
    <s v="2025-04-21"/>
    <s v="Customer 106"/>
    <s v="Standing Desk"/>
    <s v="Furniture"/>
    <x v="3"/>
    <n v="4"/>
    <n v="210000"/>
    <n v="0.1"/>
    <n v="756000"/>
    <n v="92580.96"/>
    <s v="Mobile Money"/>
  </r>
  <r>
    <s v="ORD-0160"/>
    <s v="2025-08-01"/>
    <s v="Customer 066"/>
    <s v="Printer"/>
    <s v="Technology"/>
    <x v="3"/>
    <n v="1"/>
    <n v="180000"/>
    <n v="0.05"/>
    <n v="171000"/>
    <n v="51259.27"/>
    <s v="Bank Transfer"/>
  </r>
  <r>
    <s v="ORD-0161"/>
    <s v="2025-02-04"/>
    <s v="Customer 025"/>
    <s v="Backpack"/>
    <s v="Office Supplies"/>
    <x v="3"/>
    <n v="1"/>
    <n v="45000"/>
    <n v="0"/>
    <n v="45000"/>
    <n v="19117.25"/>
    <s v="Bank Transfer"/>
  </r>
  <r>
    <s v="ORD-0162"/>
    <s v="2025-01-31"/>
    <s v="Customer 032"/>
    <s v="Standing Desk"/>
    <s v="Furniture"/>
    <x v="2"/>
    <n v="5"/>
    <n v="210000"/>
    <n v="0.15"/>
    <n v="892500"/>
    <n v="155762.76"/>
    <s v="Cash"/>
  </r>
  <r>
    <s v="ORD-0163"/>
    <s v="2025-01-27"/>
    <s v="Customer 027"/>
    <s v="Printer"/>
    <s v="Technology"/>
    <x v="0"/>
    <n v="3"/>
    <n v="180000"/>
    <n v="0.15"/>
    <n v="459000"/>
    <n v="116444.95"/>
    <s v="Bank Transfer"/>
  </r>
  <r>
    <s v="ORD-0164"/>
    <s v="2025-12-03"/>
    <s v="Customer 090"/>
    <s v="Wireless Headphones"/>
    <s v="Technology"/>
    <x v="0"/>
    <n v="4"/>
    <n v="85000"/>
    <n v="0"/>
    <n v="340000"/>
    <n v="75220.17"/>
    <s v="Cash"/>
  </r>
  <r>
    <s v="ORD-0165"/>
    <s v="2025-05-23"/>
    <s v="Customer 144"/>
    <s v="Smartphone X"/>
    <s v="Technology"/>
    <x v="0"/>
    <n v="5"/>
    <n v="420000"/>
    <n v="0"/>
    <n v="2100000"/>
    <n v="487305.48"/>
    <s v="Card"/>
  </r>
  <r>
    <s v="ORD-0166"/>
    <s v="2025-12-03"/>
    <s v="Customer 080"/>
    <s v="USB-C Hub"/>
    <s v="Technology"/>
    <x v="3"/>
    <n v="3"/>
    <n v="55000"/>
    <n v="0"/>
    <n v="165000"/>
    <n v="66212.460000000006"/>
    <s v="Cash"/>
  </r>
  <r>
    <s v="ORD-0167"/>
    <s v="2025-04-03"/>
    <s v="Customer 018"/>
    <s v="Laptop Pro 14"/>
    <s v="Technology"/>
    <x v="4"/>
    <n v="2"/>
    <n v="650000"/>
    <n v="0.15"/>
    <n v="1105000"/>
    <n v="159272.03"/>
    <s v="Card"/>
  </r>
  <r>
    <s v="ORD-0168"/>
    <s v="2025-09-29"/>
    <s v="Customer 088"/>
    <s v="Smartphone X"/>
    <s v="Technology"/>
    <x v="4"/>
    <n v="2"/>
    <n v="420000"/>
    <n v="0.1"/>
    <n v="756000"/>
    <n v="198781.99"/>
    <s v="Cash"/>
  </r>
  <r>
    <s v="ORD-0169"/>
    <s v="2025-06-16"/>
    <s v="Customer 014"/>
    <s v="Desk Lamp"/>
    <s v="Furniture"/>
    <x v="4"/>
    <n v="5"/>
    <n v="35000"/>
    <n v="0.15"/>
    <n v="148750"/>
    <n v="48485.78"/>
    <s v="Bank Transfer"/>
  </r>
  <r>
    <s v="ORD-0170"/>
    <s v="2025-01-26"/>
    <s v="Customer 109"/>
    <s v="USB-C Hub"/>
    <s v="Technology"/>
    <x v="2"/>
    <n v="1"/>
    <n v="55000"/>
    <n v="0.05"/>
    <n v="52250"/>
    <n v="15419.77"/>
    <s v="Mobile Money"/>
  </r>
  <r>
    <s v="ORD-0171"/>
    <s v="2025-05-20"/>
    <s v="Customer 111"/>
    <s v="Printer"/>
    <s v="Technology"/>
    <x v="1"/>
    <n v="2"/>
    <n v="180000"/>
    <n v="0.15"/>
    <n v="306000"/>
    <n v="96936.94"/>
    <s v="Cash"/>
  </r>
  <r>
    <s v="ORD-0172"/>
    <s v="2025-09-07"/>
    <s v="Customer 057"/>
    <s v="USB-C Hub"/>
    <s v="Technology"/>
    <x v="2"/>
    <n v="5"/>
    <n v="55000"/>
    <n v="0.2"/>
    <n v="220000"/>
    <n v="45849.86"/>
    <s v="Card"/>
  </r>
  <r>
    <s v="ORD-0173"/>
    <s v="2025-04-15"/>
    <s v="Customer 066"/>
    <s v="Laptop Pro 14"/>
    <s v="Technology"/>
    <x v="3"/>
    <n v="3"/>
    <n v="650000"/>
    <n v="0"/>
    <n v="1950000"/>
    <n v="473490.47"/>
    <s v="Cash"/>
  </r>
  <r>
    <s v="ORD-0174"/>
    <s v="2025-01-04"/>
    <s v="Customer 034"/>
    <s v="Smartphone X"/>
    <s v="Technology"/>
    <x v="2"/>
    <n v="4"/>
    <n v="420000"/>
    <n v="0.2"/>
    <n v="1344000"/>
    <n v="224654.89"/>
    <s v="Bank Transfer"/>
  </r>
  <r>
    <s v="ORD-0175"/>
    <s v="2025-10-14"/>
    <s v="Customer 011"/>
    <s v="Standing Desk"/>
    <s v="Furniture"/>
    <x v="2"/>
    <n v="3"/>
    <n v="210000"/>
    <n v="0"/>
    <n v="630000"/>
    <n v="215958.19"/>
    <s v="Card"/>
  </r>
  <r>
    <s v="ORD-0176"/>
    <s v="2025-02-09"/>
    <s v="Customer 104"/>
    <s v="Backpack"/>
    <s v="Office Supplies"/>
    <x v="2"/>
    <n v="3"/>
    <n v="45000"/>
    <n v="0.15"/>
    <n v="114750"/>
    <n v="24852.59"/>
    <s v="Cash"/>
  </r>
  <r>
    <s v="ORD-0177"/>
    <s v="2025-07-27"/>
    <s v="Customer 118"/>
    <s v="Smartphone X"/>
    <s v="Technology"/>
    <x v="3"/>
    <n v="1"/>
    <n v="420000"/>
    <n v="0.05"/>
    <n v="399000"/>
    <n v="148509.57999999999"/>
    <s v="Card"/>
  </r>
  <r>
    <s v="ORD-0178"/>
    <s v="2025-02-24"/>
    <s v="Customer 135"/>
    <s v="Printer"/>
    <s v="Technology"/>
    <x v="1"/>
    <n v="2"/>
    <n v="180000"/>
    <n v="0.1"/>
    <n v="324000"/>
    <n v="68761.710000000006"/>
    <s v="Mobile Money"/>
  </r>
  <r>
    <s v="ORD-0179"/>
    <s v="2025-06-23"/>
    <s v="Customer 020"/>
    <s v="Desk Lamp"/>
    <s v="Furniture"/>
    <x v="0"/>
    <n v="2"/>
    <n v="35000"/>
    <n v="0.05"/>
    <n v="66500"/>
    <n v="13274.67"/>
    <s v="Card"/>
  </r>
  <r>
    <s v="ORD-0180"/>
    <s v="2025-09-19"/>
    <s v="Customer 038"/>
    <s v="Standing Desk"/>
    <s v="Furniture"/>
    <x v="4"/>
    <n v="2"/>
    <n v="210000"/>
    <n v="0.05"/>
    <n v="399000"/>
    <n v="128185.29"/>
    <s v="Card"/>
  </r>
  <r>
    <s v="ORD-0181"/>
    <s v="2025-05-12"/>
    <s v="Customer 020"/>
    <s v="Wireless Headphones"/>
    <s v="Technology"/>
    <x v="4"/>
    <n v="2"/>
    <n v="85000"/>
    <n v="0"/>
    <n v="170000"/>
    <n v="48849.89"/>
    <s v="Mobile Money"/>
  </r>
  <r>
    <s v="ORD-0182"/>
    <s v="2025-10-16"/>
    <s v="Customer 145"/>
    <s v="Backpack"/>
    <s v="Office Supplies"/>
    <x v="0"/>
    <n v="5"/>
    <n v="45000"/>
    <n v="0.1"/>
    <n v="202500"/>
    <n v="37371.14"/>
    <s v="Cash"/>
  </r>
  <r>
    <s v="ORD-0183"/>
    <s v="2025-03-19"/>
    <s v="Customer 078"/>
    <s v="Notebook Pack"/>
    <s v="Office Supplies"/>
    <x v="3"/>
    <n v="4"/>
    <n v="12000"/>
    <n v="0"/>
    <n v="48000"/>
    <n v="15522.78"/>
    <s v="Card"/>
  </r>
  <r>
    <s v="ORD-0184"/>
    <s v="2025-09-17"/>
    <s v="Customer 010"/>
    <s v="Notebook Pack"/>
    <s v="Office Supplies"/>
    <x v="1"/>
    <n v="1"/>
    <n v="12000"/>
    <n v="0.05"/>
    <n v="11400"/>
    <n v="3303.95"/>
    <s v="Cash"/>
  </r>
  <r>
    <s v="ORD-0185"/>
    <s v="2025-02-09"/>
    <s v="Customer 099"/>
    <s v="Desk Lamp"/>
    <s v="Furniture"/>
    <x v="2"/>
    <n v="1"/>
    <n v="35000"/>
    <n v="0.15"/>
    <n v="29750"/>
    <n v="4885.95"/>
    <s v="Card"/>
  </r>
  <r>
    <s v="ORD-0186"/>
    <s v="2025-10-20"/>
    <s v="Customer 129"/>
    <s v="Backpack"/>
    <s v="Office Supplies"/>
    <x v="4"/>
    <n v="2"/>
    <n v="45000"/>
    <n v="0.05"/>
    <n v="85500"/>
    <n v="21298.36"/>
    <s v="Card"/>
  </r>
  <r>
    <s v="ORD-0187"/>
    <s v="2025-02-22"/>
    <s v="Customer 045"/>
    <s v="Backpack"/>
    <s v="Office Supplies"/>
    <x v="1"/>
    <n v="3"/>
    <n v="45000"/>
    <n v="0.2"/>
    <n v="108000"/>
    <n v="30676.2"/>
    <s v="Bank Transfer"/>
  </r>
  <r>
    <s v="ORD-0188"/>
    <s v="2025-08-13"/>
    <s v="Customer 094"/>
    <s v="Backpack"/>
    <s v="Office Supplies"/>
    <x v="3"/>
    <n v="5"/>
    <n v="45000"/>
    <n v="0.15"/>
    <n v="191250"/>
    <n v="30454.32"/>
    <s v="Cash"/>
  </r>
  <r>
    <s v="ORD-0189"/>
    <s v="2025-07-29"/>
    <s v="Customer 086"/>
    <s v="Printer"/>
    <s v="Technology"/>
    <x v="1"/>
    <n v="3"/>
    <n v="180000"/>
    <n v="0.2"/>
    <n v="432000"/>
    <n v="47828.24"/>
    <s v="Cash"/>
  </r>
  <r>
    <s v="ORD-0190"/>
    <s v="2025-10-13"/>
    <s v="Customer 039"/>
    <s v="Smartphone X"/>
    <s v="Technology"/>
    <x v="3"/>
    <n v="4"/>
    <n v="420000"/>
    <n v="0.05"/>
    <n v="1596000"/>
    <n v="557694.71"/>
    <s v="Card"/>
  </r>
  <r>
    <s v="ORD-0191"/>
    <s v="2025-12-06"/>
    <s v="Customer 101"/>
    <s v="USB-C Hub"/>
    <s v="Technology"/>
    <x v="4"/>
    <n v="2"/>
    <n v="55000"/>
    <n v="0.05"/>
    <n v="104500"/>
    <n v="34786.120000000003"/>
    <s v="Card"/>
  </r>
  <r>
    <s v="ORD-0192"/>
    <s v="2025-10-14"/>
    <s v="Customer 033"/>
    <s v="Desk Lamp"/>
    <s v="Furniture"/>
    <x v="0"/>
    <n v="4"/>
    <n v="35000"/>
    <n v="0.2"/>
    <n v="112000"/>
    <n v="5075.18"/>
    <s v="Card"/>
  </r>
  <r>
    <s v="ORD-0193"/>
    <s v="2025-09-18"/>
    <s v="Customer 047"/>
    <s v="Printer"/>
    <s v="Technology"/>
    <x v="4"/>
    <n v="3"/>
    <n v="180000"/>
    <n v="0"/>
    <n v="540000"/>
    <n v="190133.26"/>
    <s v="Cash"/>
  </r>
  <r>
    <s v="ORD-0194"/>
    <s v="2025-04-09"/>
    <s v="Customer 076"/>
    <s v="Backpack"/>
    <s v="Office Supplies"/>
    <x v="1"/>
    <n v="2"/>
    <n v="45000"/>
    <n v="0"/>
    <n v="90000"/>
    <n v="36734.83"/>
    <s v="Card"/>
  </r>
  <r>
    <s v="ORD-0195"/>
    <s v="2025-11-13"/>
    <s v="Customer 042"/>
    <s v="Notebook Pack"/>
    <s v="Office Supplies"/>
    <x v="4"/>
    <n v="2"/>
    <n v="12000"/>
    <n v="0.15"/>
    <n v="20400"/>
    <n v="4758.8599999999997"/>
    <s v="Bank Transfer"/>
  </r>
  <r>
    <s v="ORD-0196"/>
    <s v="2025-01-23"/>
    <s v="Customer 061"/>
    <s v="Backpack"/>
    <s v="Office Supplies"/>
    <x v="2"/>
    <n v="4"/>
    <n v="45000"/>
    <n v="0.05"/>
    <n v="171000"/>
    <n v="39128.76"/>
    <s v="Cash"/>
  </r>
  <r>
    <s v="ORD-0197"/>
    <s v="2025-04-30"/>
    <s v="Customer 121"/>
    <s v="Backpack"/>
    <s v="Office Supplies"/>
    <x v="4"/>
    <n v="5"/>
    <n v="45000"/>
    <n v="0"/>
    <n v="225000"/>
    <n v="82449.83"/>
    <s v="Cash"/>
  </r>
  <r>
    <s v="ORD-0198"/>
    <s v="2025-08-14"/>
    <s v="Customer 129"/>
    <s v="USB-C Hub"/>
    <s v="Technology"/>
    <x v="0"/>
    <n v="4"/>
    <n v="55000"/>
    <n v="0.05"/>
    <n v="209000"/>
    <n v="41779.43"/>
    <s v="Mobile Money"/>
  </r>
  <r>
    <s v="ORD-0199"/>
    <s v="2025-04-13"/>
    <s v="Customer 014"/>
    <s v="Wireless Headphones"/>
    <s v="Technology"/>
    <x v="2"/>
    <n v="5"/>
    <n v="85000"/>
    <n v="0"/>
    <n v="425000"/>
    <n v="91073.03"/>
    <s v="Cash"/>
  </r>
  <r>
    <s v="ORD-0200"/>
    <s v="2025-02-22"/>
    <s v="Customer 042"/>
    <s v="Standing Desk"/>
    <s v="Furniture"/>
    <x v="3"/>
    <n v="5"/>
    <n v="210000"/>
    <n v="0"/>
    <n v="1050000"/>
    <n v="391684.64"/>
    <s v="Mobile Money"/>
  </r>
  <r>
    <s v="ORD-0201"/>
    <s v="2025-03-17"/>
    <s v="Customer 057"/>
    <s v="Standing Desk"/>
    <s v="Furniture"/>
    <x v="2"/>
    <n v="4"/>
    <n v="210000"/>
    <n v="0"/>
    <n v="840000"/>
    <n v="163353.47"/>
    <s v="Cash"/>
  </r>
  <r>
    <s v="ORD-0202"/>
    <s v="2025-08-01"/>
    <s v="Customer 061"/>
    <s v="Laptop Pro 14"/>
    <s v="Technology"/>
    <x v="2"/>
    <n v="1"/>
    <n v="650000"/>
    <n v="0.1"/>
    <n v="585000"/>
    <n v="139397.75"/>
    <s v="Card"/>
  </r>
  <r>
    <s v="ORD-0203"/>
    <s v="2025-04-25"/>
    <s v="Customer 086"/>
    <s v="Notebook Pack"/>
    <s v="Office Supplies"/>
    <x v="4"/>
    <n v="1"/>
    <n v="12000"/>
    <n v="0.05"/>
    <n v="11400"/>
    <n v="1784.12"/>
    <s v="Bank Transfer"/>
  </r>
  <r>
    <s v="ORD-0204"/>
    <s v="2025-05-27"/>
    <s v="Customer 121"/>
    <s v="Laptop Pro 14"/>
    <s v="Technology"/>
    <x v="2"/>
    <n v="4"/>
    <n v="650000"/>
    <n v="0.2"/>
    <n v="2080000"/>
    <n v="66560.44"/>
    <s v="Card"/>
  </r>
  <r>
    <s v="ORD-0205"/>
    <s v="2025-01-10"/>
    <s v="Customer 141"/>
    <s v="Smartphone X"/>
    <s v="Technology"/>
    <x v="0"/>
    <n v="3"/>
    <n v="420000"/>
    <n v="0"/>
    <n v="1260000"/>
    <n v="282945.55"/>
    <s v="Mobile Money"/>
  </r>
  <r>
    <s v="ORD-0206"/>
    <s v="2025-05-28"/>
    <s v="Customer 062"/>
    <s v="Smartphone X"/>
    <s v="Technology"/>
    <x v="2"/>
    <n v="2"/>
    <n v="420000"/>
    <n v="0.05"/>
    <n v="798000"/>
    <n v="308364.79999999999"/>
    <s v="Mobile Money"/>
  </r>
  <r>
    <s v="ORD-0207"/>
    <s v="2025-02-26"/>
    <s v="Customer 132"/>
    <s v="Smartphone X"/>
    <s v="Technology"/>
    <x v="0"/>
    <n v="4"/>
    <n v="420000"/>
    <n v="0.15"/>
    <n v="1428000"/>
    <n v="260846"/>
    <s v="Bank Transfer"/>
  </r>
  <r>
    <s v="ORD-0208"/>
    <s v="2025-05-30"/>
    <s v="Customer 062"/>
    <s v="Wireless Headphones"/>
    <s v="Technology"/>
    <x v="0"/>
    <n v="4"/>
    <n v="85000"/>
    <n v="0"/>
    <n v="340000"/>
    <n v="96560.48"/>
    <s v="Mobile Money"/>
  </r>
  <r>
    <s v="ORD-0209"/>
    <s v="2025-12-07"/>
    <s v="Customer 018"/>
    <s v="Wireless Headphones"/>
    <s v="Technology"/>
    <x v="0"/>
    <n v="1"/>
    <n v="85000"/>
    <n v="0.15"/>
    <n v="72250"/>
    <n v="3131.68"/>
    <s v="Card"/>
  </r>
  <r>
    <s v="ORD-0210"/>
    <s v="2025-08-29"/>
    <s v="Customer 096"/>
    <s v="Printer"/>
    <s v="Technology"/>
    <x v="3"/>
    <n v="1"/>
    <n v="180000"/>
    <n v="0.2"/>
    <n v="144000"/>
    <n v="26197.57"/>
    <s v="Card"/>
  </r>
  <r>
    <s v="ORD-0211"/>
    <s v="2025-02-04"/>
    <s v="Customer 027"/>
    <s v="Notebook Pack"/>
    <s v="Office Supplies"/>
    <x v="0"/>
    <n v="3"/>
    <n v="12000"/>
    <n v="0"/>
    <n v="36000"/>
    <n v="9075.81"/>
    <s v="Cash"/>
  </r>
  <r>
    <s v="ORD-0212"/>
    <s v="2025-01-23"/>
    <s v="Customer 045"/>
    <s v="Wireless Headphones"/>
    <s v="Technology"/>
    <x v="2"/>
    <n v="3"/>
    <n v="85000"/>
    <n v="0"/>
    <n v="216750"/>
    <n v="53191.02"/>
    <s v="Mobile Money"/>
  </r>
  <r>
    <s v="ORD-0213"/>
    <s v="2025-03-11"/>
    <s v="Customer 118"/>
    <s v="Wireless Headphones"/>
    <s v="Technology"/>
    <x v="1"/>
    <n v="1"/>
    <n v="85000"/>
    <n v="0.2"/>
    <n v="68000"/>
    <n v="3436.43"/>
    <s v="Cash"/>
  </r>
  <r>
    <s v="ORD-0214"/>
    <s v="2025-01-23"/>
    <s v="Customer 080"/>
    <s v="Office Chair"/>
    <s v="Furniture"/>
    <x v="0"/>
    <n v="2"/>
    <n v="120000"/>
    <n v="0"/>
    <n v="240000"/>
    <n v="87549.39"/>
    <s v="Mobile Money"/>
  </r>
  <r>
    <s v="ORD-0215"/>
    <s v="2025-08-31"/>
    <s v="Customer 049"/>
    <s v="Standing Desk"/>
    <s v="Furniture"/>
    <x v="3"/>
    <n v="3"/>
    <n v="210000"/>
    <n v="0"/>
    <n v="630000"/>
    <n v="155365.21"/>
    <s v="Cash"/>
  </r>
  <r>
    <s v="ORD-0216"/>
    <s v="2025-12-02"/>
    <s v="Customer 095"/>
    <s v="Laptop Pro 14"/>
    <s v="Technology"/>
    <x v="2"/>
    <n v="3"/>
    <n v="650000"/>
    <n v="0.05"/>
    <n v="1852500"/>
    <n v="714463.91"/>
    <s v="Mobile Money"/>
  </r>
  <r>
    <s v="ORD-0217"/>
    <s v="2025-07-17"/>
    <s v="Customer 128"/>
    <s v="Backpack"/>
    <s v="Office Supplies"/>
    <x v="3"/>
    <n v="3"/>
    <n v="45000"/>
    <n v="0"/>
    <n v="135000"/>
    <n v="42663.39"/>
    <s v="Cash"/>
  </r>
  <r>
    <s v="ORD-0218"/>
    <s v="2025-08-06"/>
    <s v="Customer 047"/>
    <s v="Smartphone X"/>
    <s v="Technology"/>
    <x v="0"/>
    <n v="1"/>
    <n v="420000"/>
    <n v="0.1"/>
    <n v="378000"/>
    <n v="78681.8"/>
    <s v="Cash"/>
  </r>
  <r>
    <s v="ORD-0219"/>
    <s v="2025-02-22"/>
    <s v="Customer 079"/>
    <s v="Notebook Pack"/>
    <s v="Office Supplies"/>
    <x v="2"/>
    <n v="1"/>
    <n v="12000"/>
    <n v="0.05"/>
    <n v="11400"/>
    <n v="2658.62"/>
    <s v="Mobile Money"/>
  </r>
  <r>
    <s v="ORD-0220"/>
    <s v="2025-12-20"/>
    <s v="Customer 091"/>
    <s v="Wireless Headphones"/>
    <s v="Technology"/>
    <x v="0"/>
    <n v="4"/>
    <n v="85000"/>
    <n v="0.05"/>
    <n v="323000"/>
    <n v="94953.5"/>
    <s v="Mobile Money"/>
  </r>
  <r>
    <s v="ORD-0221"/>
    <s v="2025-11-24"/>
    <s v="Customer 104"/>
    <s v="Desk Lamp"/>
    <s v="Furniture"/>
    <x v="3"/>
    <n v="1"/>
    <n v="35000"/>
    <n v="0"/>
    <n v="35000"/>
    <n v="9407.31"/>
    <s v="Bank Transfer"/>
  </r>
  <r>
    <s v="ORD-0222"/>
    <s v="2025-03-15"/>
    <s v="Customer 009"/>
    <s v="Laptop Pro 14"/>
    <s v="Technology"/>
    <x v="4"/>
    <n v="5"/>
    <n v="650000"/>
    <n v="0.2"/>
    <n v="2600000"/>
    <n v="126898.75"/>
    <s v="Card"/>
  </r>
  <r>
    <s v="ORD-0223"/>
    <s v="2025-11-27"/>
    <s v="Customer 146"/>
    <s v="Office Chair"/>
    <s v="Furniture"/>
    <x v="1"/>
    <n v="3"/>
    <n v="120000"/>
    <n v="0.05"/>
    <n v="342000"/>
    <n v="106786.55"/>
    <s v="Bank Transfer"/>
  </r>
  <r>
    <s v="ORD-0224"/>
    <s v="2025-07-09"/>
    <s v="Customer 147"/>
    <s v="Backpack"/>
    <s v="Office Supplies"/>
    <x v="4"/>
    <n v="3"/>
    <n v="45000"/>
    <n v="0.1"/>
    <n v="121500"/>
    <n v="19435.57"/>
    <s v="Cash"/>
  </r>
  <r>
    <s v="ORD-0225"/>
    <s v="2025-06-10"/>
    <s v="Customer 007"/>
    <s v="Printer"/>
    <s v="Technology"/>
    <x v="4"/>
    <n v="3"/>
    <n v="180000"/>
    <n v="0"/>
    <n v="540000"/>
    <n v="102956.18"/>
    <s v="Mobile Money"/>
  </r>
  <r>
    <s v="ORD-0226"/>
    <s v="2025-07-18"/>
    <s v="Customer 067"/>
    <s v="Standing Desk"/>
    <s v="Furniture"/>
    <x v="2"/>
    <n v="5"/>
    <n v="210000"/>
    <n v="0"/>
    <n v="1050000"/>
    <n v="398286.31"/>
    <s v="Bank Transfer"/>
  </r>
  <r>
    <s v="ORD-0227"/>
    <s v="2025-05-27"/>
    <s v="Customer 019"/>
    <s v="USB-C Hub"/>
    <s v="Technology"/>
    <x v="2"/>
    <n v="4"/>
    <n v="55000"/>
    <n v="0"/>
    <n v="220000"/>
    <n v="91715.34"/>
    <s v="Bank Transfer"/>
  </r>
  <r>
    <s v="ORD-0228"/>
    <s v="2025-02-14"/>
    <s v="Customer 017"/>
    <s v="Backpack"/>
    <s v="Office Supplies"/>
    <x v="0"/>
    <n v="3"/>
    <n v="45000"/>
    <n v="0.2"/>
    <n v="108000"/>
    <n v="21086.35"/>
    <s v="Cash"/>
  </r>
  <r>
    <s v="ORD-0229"/>
    <s v="2025-03-22"/>
    <s v="Customer 032"/>
    <s v="Desk Lamp"/>
    <s v="Furniture"/>
    <x v="4"/>
    <n v="2"/>
    <n v="35000"/>
    <n v="0.05"/>
    <n v="66500"/>
    <n v="18384.52"/>
    <s v="Bank Transfer"/>
  </r>
  <r>
    <s v="ORD-0230"/>
    <s v="2025-09-10"/>
    <s v="Customer 095"/>
    <s v="Office Chair"/>
    <s v="Furniture"/>
    <x v="2"/>
    <n v="1"/>
    <n v="120000"/>
    <n v="0.05"/>
    <n v="114000"/>
    <n v="30049.71"/>
    <s v="Bank Transfer"/>
  </r>
  <r>
    <s v="ORD-0231"/>
    <s v="2025-02-14"/>
    <s v="Customer 123"/>
    <s v="USB-C Hub"/>
    <s v="Technology"/>
    <x v="0"/>
    <n v="1"/>
    <n v="55000"/>
    <n v="0.05"/>
    <n v="52250"/>
    <n v="16087.32"/>
    <s v="Mobile Money"/>
  </r>
  <r>
    <s v="ORD-0232"/>
    <s v="2025-10-22"/>
    <s v="Customer 019"/>
    <s v="Printer"/>
    <s v="Technology"/>
    <x v="2"/>
    <n v="1"/>
    <n v="180000"/>
    <n v="0"/>
    <n v="180000"/>
    <n v="33742.35"/>
    <s v="Mobile Money"/>
  </r>
  <r>
    <s v="ORD-0233"/>
    <s v="2025-06-26"/>
    <s v="Customer 047"/>
    <s v="Standing Desk"/>
    <s v="Furniture"/>
    <x v="4"/>
    <n v="2"/>
    <n v="210000"/>
    <n v="0.15"/>
    <n v="357000"/>
    <n v="53447.37"/>
    <s v="Mobile Money"/>
  </r>
  <r>
    <s v="ORD-0234"/>
    <s v="2025-01-29"/>
    <s v="Customer 043"/>
    <s v="Standing Desk"/>
    <s v="Furniture"/>
    <x v="4"/>
    <n v="1"/>
    <n v="210000"/>
    <n v="0.15"/>
    <n v="178500"/>
    <n v="54324.02"/>
    <s v="Cash"/>
  </r>
  <r>
    <s v="ORD-0235"/>
    <s v="2025-06-27"/>
    <s v="Customer 065"/>
    <s v="Office Chair"/>
    <s v="Furniture"/>
    <x v="4"/>
    <n v="5"/>
    <n v="120000"/>
    <n v="0.05"/>
    <n v="570000"/>
    <n v="102958.74"/>
    <s v="Cash"/>
  </r>
  <r>
    <s v="ORD-0236"/>
    <s v="2025-11-17"/>
    <s v="Customer 129"/>
    <s v="Wireless Headphones"/>
    <s v="Technology"/>
    <x v="4"/>
    <n v="3"/>
    <n v="85000"/>
    <n v="0.15"/>
    <n v="216750"/>
    <n v="39770.04"/>
    <s v="Bank Transfer"/>
  </r>
  <r>
    <s v="ORD-0237"/>
    <s v="2025-12-04"/>
    <s v="Customer 087"/>
    <s v="Wireless Headphones"/>
    <s v="Technology"/>
    <x v="0"/>
    <n v="5"/>
    <n v="85000"/>
    <n v="0.2"/>
    <n v="340000"/>
    <n v="2745.4"/>
    <s v="Card"/>
  </r>
  <r>
    <s v="ORD-0238"/>
    <s v="2025-02-11"/>
    <s v="Customer 068"/>
    <s v="Laptop Pro 14"/>
    <s v="Technology"/>
    <x v="4"/>
    <n v="1"/>
    <n v="650000"/>
    <n v="0.2"/>
    <n v="520000"/>
    <n v="27185.57"/>
    <s v="Mobile Money"/>
  </r>
  <r>
    <s v="ORD-0239"/>
    <s v="2025-11-24"/>
    <s v="Customer 140"/>
    <s v="USB-C Hub"/>
    <s v="Technology"/>
    <x v="3"/>
    <n v="1"/>
    <n v="55000"/>
    <n v="0.1"/>
    <n v="49500"/>
    <n v="6048.4"/>
    <s v="Cash"/>
  </r>
  <r>
    <s v="ORD-0240"/>
    <s v="2025-05-06"/>
    <s v="Customer 016"/>
    <s v="Backpack"/>
    <s v="Office Supplies"/>
    <x v="4"/>
    <n v="4"/>
    <n v="45000"/>
    <n v="0.05"/>
    <n v="171000"/>
    <n v="49957.760000000002"/>
    <s v="Mobile Money"/>
  </r>
  <r>
    <s v="ORD-0241"/>
    <s v="2025-09-05"/>
    <s v="Customer 037"/>
    <s v="Printer"/>
    <s v="Technology"/>
    <x v="3"/>
    <n v="4"/>
    <n v="180000"/>
    <n v="0"/>
    <n v="720000"/>
    <n v="257866.56"/>
    <s v="Cash"/>
  </r>
  <r>
    <s v="ORD-0242"/>
    <s v="2025-07-24"/>
    <s v="Customer 028"/>
    <s v="Notebook Pack"/>
    <s v="Office Supplies"/>
    <x v="3"/>
    <n v="2"/>
    <n v="12000"/>
    <n v="0.05"/>
    <n v="22800"/>
    <n v="6262.93"/>
    <s v="Bank Transfer"/>
  </r>
  <r>
    <s v="ORD-0243"/>
    <s v="2025-03-04"/>
    <s v="Customer 025"/>
    <s v="Backpack"/>
    <s v="Office Supplies"/>
    <x v="1"/>
    <n v="3"/>
    <n v="45000"/>
    <n v="0.1"/>
    <n v="121500"/>
    <n v="38213.360000000001"/>
    <s v="Cash"/>
  </r>
  <r>
    <s v="ORD-0244"/>
    <s v="2025-11-12"/>
    <s v="Customer 041"/>
    <s v="Printer"/>
    <s v="Technology"/>
    <x v="3"/>
    <n v="4"/>
    <n v="180000"/>
    <n v="0"/>
    <n v="720000"/>
    <n v="136853.87"/>
    <s v="Cash"/>
  </r>
  <r>
    <s v="ORD-0245"/>
    <s v="2025-03-23"/>
    <s v="Customer 079"/>
    <s v="Office Chair"/>
    <s v="Furniture"/>
    <x v="2"/>
    <n v="4"/>
    <n v="120000"/>
    <n v="0.15"/>
    <n v="408000"/>
    <n v="83500.759999999995"/>
    <s v="Card"/>
  </r>
  <r>
    <s v="ORD-0246"/>
    <s v="2025-07-21"/>
    <s v="Customer 056"/>
    <s v="Smartphone X"/>
    <s v="Technology"/>
    <x v="0"/>
    <n v="5"/>
    <n v="420000"/>
    <n v="0.1"/>
    <n v="1890000"/>
    <n v="186888.68"/>
    <s v="Cash"/>
  </r>
  <r>
    <s v="ORD-0247"/>
    <s v="2025-01-26"/>
    <s v="Customer 121"/>
    <s v="Laptop Pro 14"/>
    <s v="Technology"/>
    <x v="3"/>
    <n v="3"/>
    <n v="650000"/>
    <n v="0.1"/>
    <n v="1755000"/>
    <n v="367906.37"/>
    <s v="Card"/>
  </r>
  <r>
    <s v="ORD-0248"/>
    <s v="2025-08-09"/>
    <s v="Customer 104"/>
    <s v="Smartphone X"/>
    <s v="Technology"/>
    <x v="3"/>
    <n v="2"/>
    <n v="420000"/>
    <n v="0.05"/>
    <n v="798000"/>
    <n v="171001.17"/>
    <s v="Card"/>
  </r>
  <r>
    <s v="ORD-0249"/>
    <s v="2025-01-27"/>
    <s v="Customer 142"/>
    <s v="Printer"/>
    <s v="Technology"/>
    <x v="3"/>
    <n v="5"/>
    <n v="180000"/>
    <n v="0.15"/>
    <n v="765000"/>
    <n v="222698.76"/>
    <s v="Card"/>
  </r>
  <r>
    <s v="ORD-0250"/>
    <s v="2025-09-16"/>
    <s v="Customer 031"/>
    <s v="Printer"/>
    <s v="Technology"/>
    <x v="4"/>
    <n v="4"/>
    <n v="180000"/>
    <n v="0.15"/>
    <n v="612000"/>
    <n v="161622.29999999999"/>
    <s v="Card"/>
  </r>
  <r>
    <s v="ORD-0251"/>
    <s v="2025-07-11"/>
    <s v="Customer 037"/>
    <s v="Printer"/>
    <s v="Technology"/>
    <x v="4"/>
    <n v="3"/>
    <n v="180000"/>
    <n v="0.15"/>
    <n v="459000"/>
    <n v="25101.3"/>
    <s v="Mobile Money"/>
  </r>
  <r>
    <s v="ORD-0252"/>
    <s v="2025-01-21"/>
    <s v="Customer 086"/>
    <s v="Standing Desk"/>
    <s v="Furniture"/>
    <x v="2"/>
    <n v="1"/>
    <n v="210000"/>
    <n v="0"/>
    <n v="210000"/>
    <n v="86730.04"/>
    <s v="Mobile Money"/>
  </r>
  <r>
    <s v="ORD-0253"/>
    <s v="2025-11-07"/>
    <s v="Customer 082"/>
    <s v="Wireless Headphones"/>
    <s v="Technology"/>
    <x v="4"/>
    <n v="5"/>
    <n v="85000"/>
    <n v="0"/>
    <n v="425000"/>
    <n v="153615.92000000001"/>
    <s v="Mobile Money"/>
  </r>
  <r>
    <s v="ORD-0254"/>
    <s v="2025-06-03"/>
    <s v="Customer 131"/>
    <s v="USB-C Hub"/>
    <s v="Technology"/>
    <x v="0"/>
    <n v="5"/>
    <n v="55000"/>
    <n v="0.05"/>
    <n v="261250"/>
    <n v="72331.86"/>
    <s v="Mobile Money"/>
  </r>
  <r>
    <s v="ORD-0255"/>
    <s v="2025-06-03"/>
    <s v="Customer 029"/>
    <s v="USB-C Hub"/>
    <s v="Technology"/>
    <x v="2"/>
    <n v="4"/>
    <n v="55000"/>
    <n v="0"/>
    <n v="220000"/>
    <n v="77119.55"/>
    <s v="Cash"/>
  </r>
  <r>
    <s v="ORD-0256"/>
    <s v="2025-11-02"/>
    <s v="Customer 149"/>
    <s v="Laptop Pro 14"/>
    <s v="Technology"/>
    <x v="0"/>
    <n v="4"/>
    <n v="650000"/>
    <n v="0.05"/>
    <n v="2470000"/>
    <n v="361116.37"/>
    <s v="Bank Transfer"/>
  </r>
  <r>
    <s v="ORD-0257"/>
    <s v="2025-10-26"/>
    <s v="Customer 098"/>
    <s v="Laptop Pro 14"/>
    <s v="Technology"/>
    <x v="4"/>
    <n v="4"/>
    <n v="650000"/>
    <n v="0"/>
    <n v="2600000"/>
    <n v="801988.9"/>
    <s v="Bank Transfer"/>
  </r>
  <r>
    <s v="ORD-0258"/>
    <s v="2025-10-21"/>
    <s v="Customer 081"/>
    <s v="Laptop Pro 14"/>
    <s v="Technology"/>
    <x v="2"/>
    <n v="1"/>
    <n v="650000"/>
    <n v="0"/>
    <n v="650000"/>
    <n v="289176.49"/>
    <s v="Bank Transfer"/>
  </r>
  <r>
    <s v="ORD-0259"/>
    <s v="2025-12-20"/>
    <s v="Customer 121"/>
    <s v="Printer"/>
    <s v="Technology"/>
    <x v="1"/>
    <n v="2"/>
    <n v="180000"/>
    <n v="0.1"/>
    <n v="324000"/>
    <n v="77223.14"/>
    <s v="Bank Transfer"/>
  </r>
  <r>
    <s v="ORD-0260"/>
    <s v="2025-04-17"/>
    <s v="Customer 123"/>
    <s v="Standing Desk"/>
    <s v="Furniture"/>
    <x v="0"/>
    <n v="5"/>
    <n v="210000"/>
    <n v="0.05"/>
    <n v="997500"/>
    <n v="137032.17000000001"/>
    <s v="Mobile Money"/>
  </r>
  <r>
    <s v="ORD-0261"/>
    <s v="2025-03-30"/>
    <s v="Customer 091"/>
    <s v="Notebook Pack"/>
    <s v="Office Supplies"/>
    <x v="3"/>
    <n v="4"/>
    <n v="12000"/>
    <n v="0.15"/>
    <n v="40800"/>
    <n v="9963.44"/>
    <s v="Mobile Money"/>
  </r>
  <r>
    <s v="ORD-0262"/>
    <s v="2025-05-07"/>
    <s v="Customer 077"/>
    <s v="Office Chair"/>
    <s v="Furniture"/>
    <x v="3"/>
    <n v="3"/>
    <n v="120000"/>
    <n v="0.15"/>
    <n v="306000"/>
    <n v="78985.88"/>
    <s v="Bank Transfer"/>
  </r>
  <r>
    <s v="ORD-0263"/>
    <s v="2025-06-12"/>
    <s v="Customer 071"/>
    <s v="Backpack"/>
    <s v="Office Supplies"/>
    <x v="3"/>
    <n v="4"/>
    <n v="45000"/>
    <n v="0.05"/>
    <n v="171000"/>
    <n v="44760.3"/>
    <s v="Card"/>
  </r>
  <r>
    <s v="ORD-0264"/>
    <s v="2025-12-13"/>
    <s v="Customer 102"/>
    <s v="USB-C Hub"/>
    <s v="Technology"/>
    <x v="3"/>
    <n v="5"/>
    <n v="55000"/>
    <n v="0.1"/>
    <n v="247500"/>
    <n v="29739.79"/>
    <s v="Bank Transfer"/>
  </r>
  <r>
    <s v="ORD-0265"/>
    <s v="2025-01-22"/>
    <s v="Customer 114"/>
    <s v="Desk Lamp"/>
    <s v="Furniture"/>
    <x v="3"/>
    <n v="3"/>
    <n v="35000"/>
    <n v="0.2"/>
    <n v="84000"/>
    <n v="24009.52"/>
    <s v="Mobile Money"/>
  </r>
  <r>
    <s v="ORD-0266"/>
    <s v="2025-04-14"/>
    <s v="Customer 070"/>
    <s v="Office Chair"/>
    <s v="Furniture"/>
    <x v="4"/>
    <n v="5"/>
    <n v="120000"/>
    <n v="0.05"/>
    <n v="570000"/>
    <n v="88850.12"/>
    <s v="Card"/>
  </r>
  <r>
    <s v="ORD-0267"/>
    <s v="2025-10-28"/>
    <s v="Customer 136"/>
    <s v="USB-C Hub"/>
    <s v="Technology"/>
    <x v="4"/>
    <n v="2"/>
    <n v="55000"/>
    <n v="0"/>
    <n v="110000"/>
    <n v="47992.27"/>
    <s v="Bank Transfer"/>
  </r>
  <r>
    <s v="ORD-0268"/>
    <s v="2025-02-21"/>
    <s v="Customer 026"/>
    <s v="Laptop Pro 14"/>
    <s v="Technology"/>
    <x v="4"/>
    <n v="4"/>
    <n v="650000"/>
    <n v="0.05"/>
    <n v="2470000"/>
    <n v="536414.64"/>
    <s v="Card"/>
  </r>
  <r>
    <s v="ORD-0269"/>
    <s v="2025-03-22"/>
    <s v="Customer 122"/>
    <s v="Standing Desk"/>
    <s v="Furniture"/>
    <x v="2"/>
    <n v="4"/>
    <n v="210000"/>
    <n v="0.2"/>
    <n v="672000"/>
    <n v="-2065.2800000000002"/>
    <s v="Bank Transfer"/>
  </r>
  <r>
    <s v="ORD-0270"/>
    <s v="2025-06-14"/>
    <s v="Customer 023"/>
    <s v="Desk Lamp"/>
    <s v="Furniture"/>
    <x v="0"/>
    <n v="3"/>
    <n v="35000"/>
    <n v="0.2"/>
    <n v="84000"/>
    <n v="24572.74"/>
    <s v="Bank Transfer"/>
  </r>
  <r>
    <s v="ORD-0271"/>
    <s v="2025-01-20"/>
    <s v="Customer 046"/>
    <s v="Standing Desk"/>
    <s v="Furniture"/>
    <x v="1"/>
    <n v="2"/>
    <n v="210000"/>
    <n v="0.1"/>
    <n v="378000"/>
    <n v="46953.42"/>
    <s v="Mobile Money"/>
  </r>
  <r>
    <s v="ORD-0272"/>
    <s v="2025-04-06"/>
    <s v="Customer 146"/>
    <s v="Backpack"/>
    <s v="Office Supplies"/>
    <x v="0"/>
    <n v="3"/>
    <n v="45000"/>
    <n v="0"/>
    <n v="135000"/>
    <n v="60412.21"/>
    <s v="Card"/>
  </r>
  <r>
    <s v="ORD-0273"/>
    <s v="2025-05-26"/>
    <s v="Customer 127"/>
    <s v="Notebook Pack"/>
    <s v="Office Supplies"/>
    <x v="4"/>
    <n v="4"/>
    <n v="12000"/>
    <n v="0.2"/>
    <n v="38400"/>
    <n v="4958.83"/>
    <s v="Mobile Money"/>
  </r>
  <r>
    <s v="ORD-0274"/>
    <s v="2025-04-09"/>
    <s v="Customer 118"/>
    <s v="Desk Lamp"/>
    <s v="Furniture"/>
    <x v="3"/>
    <n v="1"/>
    <n v="35000"/>
    <n v="0.05"/>
    <n v="33250"/>
    <n v="12464.43"/>
    <s v="Bank Transfer"/>
  </r>
  <r>
    <s v="ORD-0275"/>
    <s v="2025-06-22"/>
    <s v="Customer 050"/>
    <s v="Laptop Pro 14"/>
    <s v="Technology"/>
    <x v="4"/>
    <n v="3"/>
    <n v="650000"/>
    <n v="0.15"/>
    <n v="1657500"/>
    <n v="229927.8"/>
    <s v="Mobile Money"/>
  </r>
  <r>
    <s v="ORD-0276"/>
    <s v="2025-09-21"/>
    <s v="Customer 025"/>
    <s v="Printer"/>
    <s v="Technology"/>
    <x v="4"/>
    <n v="3"/>
    <n v="180000"/>
    <n v="0"/>
    <n v="540000"/>
    <n v="184558.51"/>
    <s v="Bank Transfer"/>
  </r>
  <r>
    <s v="ORD-0277"/>
    <s v="2025-06-15"/>
    <s v="Customer 061"/>
    <s v="Backpack"/>
    <s v="Office Supplies"/>
    <x v="2"/>
    <n v="2"/>
    <n v="45000"/>
    <n v="0"/>
    <n v="90000"/>
    <n v="34162.92"/>
    <s v="Cash"/>
  </r>
  <r>
    <s v="ORD-0278"/>
    <s v="2025-06-04"/>
    <s v="Customer 067"/>
    <s v="Notebook Pack"/>
    <s v="Office Supplies"/>
    <x v="3"/>
    <n v="5"/>
    <n v="12000"/>
    <n v="0.2"/>
    <n v="48000"/>
    <n v="5719.39"/>
    <s v="Bank Transfer"/>
  </r>
  <r>
    <s v="ORD-0279"/>
    <s v="2025-12-08"/>
    <s v="Customer 104"/>
    <s v="Laptop Pro 14"/>
    <s v="Technology"/>
    <x v="0"/>
    <n v="1"/>
    <n v="650000"/>
    <n v="0.1"/>
    <n v="585000"/>
    <n v="173655.49"/>
    <s v="Cash"/>
  </r>
  <r>
    <s v="ORD-0280"/>
    <s v="2025-11-24"/>
    <s v="Customer 057"/>
    <s v="Smartphone X"/>
    <s v="Technology"/>
    <x v="4"/>
    <n v="3"/>
    <n v="420000"/>
    <n v="0.05"/>
    <n v="1197000"/>
    <n v="294904.42"/>
    <s v="Mobile Money"/>
  </r>
  <r>
    <s v="ORD-0281"/>
    <s v="2025-08-21"/>
    <s v="Customer 141"/>
    <s v="Wireless Headphones"/>
    <s v="Technology"/>
    <x v="2"/>
    <n v="5"/>
    <n v="85000"/>
    <n v="0.05"/>
    <n v="403750"/>
    <n v="122281.72"/>
    <s v="Bank Transfer"/>
  </r>
  <r>
    <s v="ORD-0282"/>
    <s v="2025-12-15"/>
    <s v="Customer 136"/>
    <s v="Office Chair"/>
    <s v="Furniture"/>
    <x v="3"/>
    <n v="5"/>
    <n v="120000"/>
    <n v="0"/>
    <n v="600000"/>
    <n v="184867.92"/>
    <s v="Card"/>
  </r>
  <r>
    <s v="ORD-0283"/>
    <s v="2025-02-27"/>
    <s v="Customer 052"/>
    <s v="USB-C Hub"/>
    <s v="Technology"/>
    <x v="0"/>
    <n v="1"/>
    <n v="55000"/>
    <n v="0.15"/>
    <n v="46750"/>
    <n v="3092.11"/>
    <s v="Bank Transfer"/>
  </r>
  <r>
    <s v="ORD-0284"/>
    <s v="2025-06-17"/>
    <s v="Customer 053"/>
    <s v="Wireless Headphones"/>
    <s v="Technology"/>
    <x v="0"/>
    <n v="5"/>
    <n v="85000"/>
    <n v="0.1"/>
    <n v="382500"/>
    <n v="135411.46"/>
    <s v="Mobile Money"/>
  </r>
  <r>
    <s v="ORD-0285"/>
    <s v="2025-09-19"/>
    <s v="Customer 132"/>
    <s v="Smartphone X"/>
    <s v="Technology"/>
    <x v="2"/>
    <n v="4"/>
    <n v="420000"/>
    <n v="0"/>
    <n v="1680000"/>
    <n v="550323.11"/>
    <s v="Mobile Money"/>
  </r>
  <r>
    <s v="ORD-0286"/>
    <s v="2025-01-30"/>
    <s v="Customer 079"/>
    <s v="USB-C Hub"/>
    <s v="Technology"/>
    <x v="1"/>
    <n v="5"/>
    <n v="55000"/>
    <n v="0.1"/>
    <n v="247500"/>
    <n v="46297"/>
    <s v="Mobile Money"/>
  </r>
  <r>
    <s v="ORD-0287"/>
    <s v="2025-01-02"/>
    <s v="Customer 109"/>
    <s v="Desk Lamp"/>
    <s v="Furniture"/>
    <x v="3"/>
    <n v="2"/>
    <n v="35000"/>
    <n v="0.15"/>
    <n v="59500"/>
    <n v="19619.740000000002"/>
    <s v="Card"/>
  </r>
  <r>
    <s v="ORD-0288"/>
    <s v="2025-01-31"/>
    <s v="Customer 105"/>
    <s v="Standing Desk"/>
    <s v="Furniture"/>
    <x v="4"/>
    <n v="1"/>
    <n v="210000"/>
    <n v="0.1"/>
    <n v="189000"/>
    <n v="71700.63"/>
    <s v="Bank Transfer"/>
  </r>
  <r>
    <s v="ORD-0289"/>
    <s v="2025-07-11"/>
    <s v="Customer 097"/>
    <s v="Printer"/>
    <s v="Technology"/>
    <x v="2"/>
    <n v="4"/>
    <n v="180000"/>
    <n v="0.1"/>
    <n v="648000"/>
    <n v="82945.820000000007"/>
    <s v="Card"/>
  </r>
  <r>
    <s v="ORD-0290"/>
    <s v="2025-03-10"/>
    <s v="Customer 138"/>
    <s v="Standing Desk"/>
    <s v="Furniture"/>
    <x v="2"/>
    <n v="3"/>
    <n v="210000"/>
    <n v="0"/>
    <n v="630000"/>
    <n v="253141.64"/>
    <s v="Bank Transfer"/>
  </r>
  <r>
    <s v="ORD-0291"/>
    <s v="2025-01-02"/>
    <s v="Customer 140"/>
    <s v="Office Chair"/>
    <s v="Furniture"/>
    <x v="2"/>
    <n v="1"/>
    <n v="120000"/>
    <n v="0.05"/>
    <n v="114000"/>
    <n v="32998.67"/>
    <s v="Mobile Money"/>
  </r>
  <r>
    <s v="ORD-0292"/>
    <s v="2025-05-07"/>
    <s v="Customer 049"/>
    <s v="Office Chair"/>
    <s v="Furniture"/>
    <x v="1"/>
    <n v="4"/>
    <n v="120000"/>
    <n v="0.05"/>
    <n v="456000"/>
    <n v="171896.27"/>
    <s v="Card"/>
  </r>
  <r>
    <s v="ORD-0293"/>
    <s v="2025-11-11"/>
    <s v="Customer 026"/>
    <s v="Printer"/>
    <s v="Technology"/>
    <x v="0"/>
    <n v="1"/>
    <n v="180000"/>
    <n v="0"/>
    <n v="180000"/>
    <n v="70984.429999999993"/>
    <s v="Card"/>
  </r>
  <r>
    <s v="ORD-0294"/>
    <s v="2025-11-03"/>
    <s v="Customer 103"/>
    <s v="Backpack"/>
    <s v="Office Supplies"/>
    <x v="2"/>
    <n v="1"/>
    <n v="45000"/>
    <n v="0"/>
    <n v="45000"/>
    <n v="11252.43"/>
    <s v="Bank Transfer"/>
  </r>
  <r>
    <s v="ORD-0295"/>
    <s v="2025-04-22"/>
    <s v="Customer 075"/>
    <s v="Standing Desk"/>
    <s v="Furniture"/>
    <x v="4"/>
    <n v="1"/>
    <n v="210000"/>
    <n v="0"/>
    <n v="210000"/>
    <n v="65929.11"/>
    <s v="Cash"/>
  </r>
  <r>
    <s v="ORD-0296"/>
    <s v="2025-11-03"/>
    <s v="Customer 037"/>
    <s v="USB-C Hub"/>
    <s v="Technology"/>
    <x v="0"/>
    <n v="3"/>
    <n v="55000"/>
    <n v="0"/>
    <n v="165000"/>
    <n v="60806.39"/>
    <s v="Bank Transfer"/>
  </r>
  <r>
    <s v="ORD-0297"/>
    <s v="2025-06-03"/>
    <s v="Customer 045"/>
    <s v="Printer"/>
    <s v="Technology"/>
    <x v="2"/>
    <n v="3"/>
    <n v="180000"/>
    <n v="0"/>
    <n v="540000"/>
    <n v="161830.5"/>
    <s v="Mobile Money"/>
  </r>
  <r>
    <s v="ORD-0298"/>
    <s v="2025-06-26"/>
    <s v="Customer 107"/>
    <s v="Laptop Pro 14"/>
    <s v="Technology"/>
    <x v="2"/>
    <n v="4"/>
    <n v="650000"/>
    <n v="0.15"/>
    <n v="2210000"/>
    <n v="556248.41"/>
    <s v="Bank Transfer"/>
  </r>
  <r>
    <s v="ORD-0299"/>
    <s v="2025-07-12"/>
    <s v="Customer 058"/>
    <s v="Desk Lamp"/>
    <s v="Furniture"/>
    <x v="3"/>
    <n v="2"/>
    <n v="35000"/>
    <n v="0.15"/>
    <n v="59500"/>
    <n v="12050.49"/>
    <s v="Bank Transfer"/>
  </r>
  <r>
    <s v="ORD-0300"/>
    <s v="2025-01-30"/>
    <s v="Customer 143"/>
    <s v="Backpack"/>
    <s v="Office Supplies"/>
    <x v="0"/>
    <n v="5"/>
    <n v="45000"/>
    <n v="0.1"/>
    <n v="202500"/>
    <n v="19956.990000000002"/>
    <s v="Bank Transfer"/>
  </r>
  <r>
    <s v="ORD-0301"/>
    <s v="2025-05-05"/>
    <s v="Customer 021"/>
    <s v="Printer"/>
    <s v="Technology"/>
    <x v="2"/>
    <n v="3"/>
    <n v="180000"/>
    <n v="0"/>
    <n v="540000"/>
    <n v="194847.66"/>
    <s v="Cash"/>
  </r>
  <r>
    <s v="ORD-0302"/>
    <s v="2025-10-02"/>
    <s v="Customer 011"/>
    <s v="Smartphone X"/>
    <s v="Technology"/>
    <x v="1"/>
    <n v="2"/>
    <n v="420000"/>
    <n v="0"/>
    <n v="840000"/>
    <n v="317112.90999999997"/>
    <s v="Bank Transfer"/>
  </r>
  <r>
    <s v="ORD-0303"/>
    <s v="2025-12-10"/>
    <s v="Customer 086"/>
    <s v="Wireless Headphones "/>
    <s v="Technology"/>
    <x v="3"/>
    <n v="5"/>
    <n v="55000"/>
    <n v="0"/>
    <n v="275000"/>
    <n v="88154.98"/>
    <s v="Card"/>
  </r>
  <r>
    <s v="ORD-0304"/>
    <s v="2025-04-08"/>
    <s v="Customer 123"/>
    <s v="Office Chair"/>
    <s v="Furniture"/>
    <x v="4"/>
    <n v="1"/>
    <n v="120000"/>
    <n v="0.2"/>
    <n v="96000"/>
    <n v="-2386.13"/>
    <s v="Bank Transfer"/>
  </r>
  <r>
    <s v="ORD-0305"/>
    <s v="2025-05-03"/>
    <s v="Customer 098"/>
    <s v="Printer"/>
    <s v="Technology"/>
    <x v="2"/>
    <n v="5"/>
    <n v="180000"/>
    <n v="0.05"/>
    <n v="855000"/>
    <n v="171550.13"/>
    <s v="Cash"/>
  </r>
  <r>
    <s v="ORD-0306"/>
    <s v="2025-05-14"/>
    <s v="Customer 120"/>
    <s v="Desk Lamp"/>
    <s v="Furniture"/>
    <x v="1"/>
    <n v="3"/>
    <n v="35000"/>
    <n v="0.15"/>
    <n v="89250"/>
    <n v="6472.28"/>
    <s v="Mobile Money"/>
  </r>
  <r>
    <s v="ORD-0307"/>
    <s v="2025-04-15"/>
    <s v="Customer 145"/>
    <s v="Notebook Pack"/>
    <s v="Office Supplies"/>
    <x v="4"/>
    <n v="3"/>
    <n v="12000"/>
    <n v="0.05"/>
    <n v="34200"/>
    <n v="10376.6"/>
    <s v="Bank Transfer"/>
  </r>
  <r>
    <s v="ORD-0308"/>
    <s v="2025-05-14"/>
    <s v="Customer 107"/>
    <s v="Laptop Pro 14"/>
    <s v="Technology"/>
    <x v="3"/>
    <n v="5"/>
    <n v="650000"/>
    <n v="0.15"/>
    <n v="2762500"/>
    <n v="466802.08"/>
    <s v="Bank Transfer"/>
  </r>
  <r>
    <s v="ORD-0309"/>
    <s v="2025-06-18"/>
    <s v="Customer 063"/>
    <s v="Office Chair"/>
    <s v="Furniture"/>
    <x v="2"/>
    <n v="2"/>
    <n v="120000"/>
    <n v="0.1"/>
    <n v="216000"/>
    <n v="47077.64"/>
    <s v="Cash"/>
  </r>
  <r>
    <s v="ORD-0310"/>
    <s v="2025-09-08"/>
    <s v="Customer 091"/>
    <s v="Desk Lamp"/>
    <s v="Furniture"/>
    <x v="4"/>
    <n v="4"/>
    <n v="35000"/>
    <n v="0.1"/>
    <n v="126000"/>
    <n v="42640.77"/>
    <s v="Bank Transfer"/>
  </r>
  <r>
    <s v="ORD-0311"/>
    <s v="2025-09-08"/>
    <s v="Customer 016"/>
    <s v="Standing Desk"/>
    <s v="Furniture"/>
    <x v="0"/>
    <n v="2"/>
    <n v="210000"/>
    <n v="0.15"/>
    <n v="357000"/>
    <n v="13697.31"/>
    <s v="Card"/>
  </r>
  <r>
    <s v="ORD-0312"/>
    <s v="2025-12-09"/>
    <s v="Customer 060"/>
    <s v="Smartphone X"/>
    <s v="Technology"/>
    <x v="1"/>
    <n v="1"/>
    <n v="420000"/>
    <n v="0"/>
    <n v="420000"/>
    <n v="142234.72"/>
    <s v="Bank Transfer"/>
  </r>
  <r>
    <s v="ORD-0313"/>
    <s v="2025-04-22"/>
    <s v="Customer 124"/>
    <s v="Laptop Pro 14"/>
    <s v="Technology"/>
    <x v="2"/>
    <n v="5"/>
    <n v="650000"/>
    <n v="0.1"/>
    <n v="2925000"/>
    <n v="810016.39"/>
    <s v="Card"/>
  </r>
  <r>
    <s v="ORD-0314"/>
    <s v="2025-09-30"/>
    <s v="Customer 136"/>
    <s v="Laptop Pro 14"/>
    <s v="Technology"/>
    <x v="3"/>
    <n v="5"/>
    <n v="650000"/>
    <n v="0.1"/>
    <n v="2925000"/>
    <n v="1127100.78"/>
    <s v="Cash"/>
  </r>
  <r>
    <s v="ORD-0315"/>
    <s v="2025-09-15"/>
    <s v="Customer 025"/>
    <s v="Laptop Pro 14"/>
    <s v="Technology"/>
    <x v="0"/>
    <n v="4"/>
    <n v="650000"/>
    <n v="0"/>
    <n v="2600000"/>
    <n v="1094874.47"/>
    <s v="Bank Transfer"/>
  </r>
  <r>
    <s v="ORD-0316"/>
    <s v="2025-04-09"/>
    <s v="Customer 091"/>
    <s v="Office Chair"/>
    <s v="Furniture"/>
    <x v="3"/>
    <n v="5"/>
    <n v="120000"/>
    <n v="0.15"/>
    <n v="510000"/>
    <n v="139108.25"/>
    <s v="Mobile Money"/>
  </r>
  <r>
    <s v="ORD-0317"/>
    <s v="2025-07-11"/>
    <s v="Customer 058"/>
    <s v="Smartphone X"/>
    <s v="Technology"/>
    <x v="3"/>
    <n v="4"/>
    <n v="420000"/>
    <n v="0.1"/>
    <n v="1512000"/>
    <n v="331715.01"/>
    <s v="Card"/>
  </r>
  <r>
    <s v="ORD-0318"/>
    <s v="2025-02-17"/>
    <s v="Customer 122"/>
    <s v="Laptop Pro 14"/>
    <s v="Technology"/>
    <x v="1"/>
    <n v="4"/>
    <n v="650000"/>
    <n v="0.1"/>
    <n v="2340000"/>
    <n v="645226.96"/>
    <s v="Card"/>
  </r>
  <r>
    <s v="ORD-0319"/>
    <s v="2025-02-12"/>
    <s v="Customer 085"/>
    <s v="Wireless Headphones"/>
    <s v="Technology"/>
    <x v="0"/>
    <n v="4"/>
    <n v="85000"/>
    <n v="0.1"/>
    <n v="306000"/>
    <n v="59797.52"/>
    <s v="Card"/>
  </r>
  <r>
    <s v="ORD-0320"/>
    <s v="2025-01-22"/>
    <s v="Customer 146"/>
    <s v="Standing Desk"/>
    <s v="Furniture"/>
    <x v="2"/>
    <n v="2"/>
    <n v="210000"/>
    <n v="0"/>
    <n v="420000"/>
    <n v="86795.65"/>
    <s v="Cash"/>
  </r>
  <r>
    <s v="ORD-0321"/>
    <s v="2025-02-08"/>
    <s v="Customer 009"/>
    <s v="Laptop Pro 14"/>
    <s v="Technology"/>
    <x v="4"/>
    <n v="3"/>
    <n v="650000"/>
    <n v="0.15"/>
    <n v="1657500"/>
    <n v="288312.06"/>
    <s v="Cash"/>
  </r>
  <r>
    <s v="ORD-0322"/>
    <s v="2025-04-17"/>
    <s v="Customer 102"/>
    <s v="Laptop Pro 14"/>
    <s v="Technology"/>
    <x v="1"/>
    <n v="5"/>
    <n v="650000"/>
    <n v="0"/>
    <n v="3250000"/>
    <n v="802396.7"/>
    <s v="Cash"/>
  </r>
  <r>
    <s v="ORD-0323"/>
    <s v="2025-10-16"/>
    <s v="Customer 100"/>
    <s v="Wireless Headphones"/>
    <s v="Technology"/>
    <x v="0"/>
    <n v="2"/>
    <n v="85000"/>
    <n v="0.15"/>
    <n v="144500"/>
    <n v="12689.54"/>
    <s v="Cash"/>
  </r>
  <r>
    <s v="ORD-0324"/>
    <s v="2025-03-13"/>
    <s v="Customer 089"/>
    <s v="Printer"/>
    <s v="Technology"/>
    <x v="1"/>
    <n v="1"/>
    <n v="180000"/>
    <n v="0.15"/>
    <n v="153000"/>
    <n v="17770.810000000001"/>
    <s v="Card"/>
  </r>
  <r>
    <s v="ORD-0325"/>
    <s v="2025-04-29"/>
    <s v="Customer 102"/>
    <s v="Printer"/>
    <s v="Technology"/>
    <x v="3"/>
    <n v="1"/>
    <n v="180000"/>
    <n v="0.05"/>
    <n v="171000"/>
    <n v="42588.800000000003"/>
    <s v="Card"/>
  </r>
  <r>
    <s v="ORD-0326"/>
    <s v="2025-08-19"/>
    <s v="Customer 097"/>
    <s v="Desk Lamp"/>
    <s v="Furniture"/>
    <x v="2"/>
    <n v="4"/>
    <n v="35000"/>
    <n v="0"/>
    <n v="140000"/>
    <n v="49550.34"/>
    <s v="Bank Transfer"/>
  </r>
  <r>
    <s v="ORD-0327"/>
    <s v="2025-12-05"/>
    <s v="Customer 076"/>
    <s v="USB-C Hub"/>
    <s v="Technology"/>
    <x v="4"/>
    <n v="4"/>
    <n v="55000"/>
    <n v="0"/>
    <n v="220000"/>
    <n v="53133.26"/>
    <s v="Card"/>
  </r>
  <r>
    <s v="ORD-0328"/>
    <s v="2025-05-18"/>
    <s v="Customer 040"/>
    <s v="Smartphone X"/>
    <s v="Technology"/>
    <x v="2"/>
    <n v="2"/>
    <n v="420000"/>
    <n v="0.1"/>
    <n v="756000"/>
    <n v="132591.62"/>
    <s v="Cash"/>
  </r>
  <r>
    <s v="ORD-0329"/>
    <s v="2025-02-24"/>
    <s v="Customer 114"/>
    <s v="Notebook Pack"/>
    <s v="Office Supplies"/>
    <x v="3"/>
    <n v="1"/>
    <n v="12000"/>
    <n v="0"/>
    <n v="12000"/>
    <n v="2344.81"/>
    <s v="Cash"/>
  </r>
  <r>
    <s v="ORD-0330"/>
    <s v="2025-03-09"/>
    <s v="Customer 143"/>
    <s v="Smartphone X"/>
    <s v="Technology"/>
    <x v="0"/>
    <n v="1"/>
    <n v="420000"/>
    <n v="0"/>
    <n v="420000"/>
    <n v="140126.92000000001"/>
    <s v="Mobile Money"/>
  </r>
  <r>
    <s v="ORD-0331"/>
    <s v="2025-01-14"/>
    <s v="Customer 084"/>
    <s v="Smartphone X"/>
    <s v="Technology"/>
    <x v="2"/>
    <n v="1"/>
    <n v="420000"/>
    <n v="0.05"/>
    <n v="399000"/>
    <n v="105151.47"/>
    <s v="Card"/>
  </r>
  <r>
    <s v="ORD-0332"/>
    <s v="2025-07-31"/>
    <s v="Customer 144"/>
    <s v="Desk Lamp"/>
    <s v="Furniture"/>
    <x v="4"/>
    <n v="4"/>
    <n v="35000"/>
    <n v="0"/>
    <n v="140000"/>
    <n v="35600.9"/>
    <s v="Bank Transfer"/>
  </r>
  <r>
    <s v="ORD-0333"/>
    <s v="2025-03-28"/>
    <s v="Customer 127"/>
    <s v="Printer"/>
    <s v="Technology"/>
    <x v="4"/>
    <n v="2"/>
    <n v="180000"/>
    <n v="0.05"/>
    <n v="342000"/>
    <n v="114730.04"/>
    <s v="Card"/>
  </r>
  <r>
    <s v="ORD-0334"/>
    <s v="2025-08-11"/>
    <s v="Customer 020"/>
    <s v="Wireless Headphones"/>
    <s v="Technology"/>
    <x v="3"/>
    <n v="3"/>
    <n v="85000"/>
    <n v="0.1"/>
    <n v="229500"/>
    <n v="68612.06"/>
    <s v="Cash"/>
  </r>
  <r>
    <s v="ORD-0335"/>
    <s v="2025-11-17"/>
    <s v="Customer 118"/>
    <s v="Office Chair"/>
    <s v="Furniture"/>
    <x v="1"/>
    <n v="4"/>
    <n v="120000"/>
    <n v="0.15"/>
    <n v="408000"/>
    <n v="64079.72"/>
    <s v="Bank Transfer"/>
  </r>
  <r>
    <s v="ORD-0336"/>
    <s v="2025-01-04"/>
    <s v="Customer 098"/>
    <s v="Desk Lamp"/>
    <s v="Furniture"/>
    <x v="3"/>
    <n v="4"/>
    <n v="35000"/>
    <n v="0.05"/>
    <n v="133000"/>
    <n v="24187.01"/>
    <s v="Mobile Money"/>
  </r>
  <r>
    <s v="ORD-0337"/>
    <s v="2025-08-09"/>
    <s v="Customer 052"/>
    <s v="Notebook Pack"/>
    <s v="Office Supplies"/>
    <x v="2"/>
    <n v="5"/>
    <n v="12000"/>
    <n v="0"/>
    <n v="60000"/>
    <n v="22132.95"/>
    <s v="Cash"/>
  </r>
  <r>
    <s v="ORD-0338"/>
    <s v="2025-07-23"/>
    <s v="Customer 126"/>
    <s v="Wireless Headphones"/>
    <s v="Technology"/>
    <x v="0"/>
    <n v="3"/>
    <n v="85000"/>
    <n v="0.05"/>
    <n v="242250"/>
    <n v="51403.9"/>
    <s v="Bank Transfer"/>
  </r>
  <r>
    <s v="ORD-0339"/>
    <s v="2025-07-12"/>
    <s v="Customer 145"/>
    <s v="Notebook Pack"/>
    <s v="Office Supplies"/>
    <x v="4"/>
    <n v="3"/>
    <n v="12000"/>
    <n v="0.1"/>
    <n v="32400"/>
    <n v="9052.0499999999993"/>
    <s v="Bank Transfer"/>
  </r>
  <r>
    <s v="ORD-0340"/>
    <s v="2025-01-14"/>
    <s v="Customer 075"/>
    <s v="Standing Desk"/>
    <s v="Furniture"/>
    <x v="1"/>
    <n v="4"/>
    <n v="210000"/>
    <n v="0.2"/>
    <n v="672000"/>
    <n v="162451.74"/>
    <s v="Mobile Money"/>
  </r>
  <r>
    <s v="ORD-0341"/>
    <s v="2025-03-13"/>
    <s v="Customer 040"/>
    <s v="Backpack"/>
    <s v="Office Supplies"/>
    <x v="2"/>
    <n v="3"/>
    <n v="45000"/>
    <n v="0"/>
    <n v="135000"/>
    <n v="51539.75"/>
    <s v="Mobile Money"/>
  </r>
  <r>
    <s v="ORD-0342"/>
    <s v="2025-08-18"/>
    <s v="Customer 137"/>
    <s v="Smartphone X"/>
    <s v="Technology"/>
    <x v="0"/>
    <n v="5"/>
    <n v="420000"/>
    <n v="0.1"/>
    <n v="1890000"/>
    <n v="404867.64"/>
    <s v="Mobile Money"/>
  </r>
  <r>
    <s v="ORD-0343"/>
    <s v="2025-01-19"/>
    <s v="Customer 138"/>
    <s v="Standing Desk"/>
    <s v="Furniture"/>
    <x v="0"/>
    <n v="3"/>
    <n v="210000"/>
    <n v="0.2"/>
    <n v="504000"/>
    <n v="5175.1899999999996"/>
    <s v="Card"/>
  </r>
  <r>
    <s v="ORD-0344"/>
    <s v="2025-05-08"/>
    <s v="Customer 012"/>
    <s v="Smartphone X"/>
    <s v="Technology"/>
    <x v="0"/>
    <n v="3"/>
    <n v="420000"/>
    <n v="0"/>
    <n v="1260000"/>
    <n v="346890.65"/>
    <s v="Mobile Money"/>
  </r>
  <r>
    <s v="ORD-0345"/>
    <s v="2025-08-09"/>
    <s v="Customer 057"/>
    <s v="Notebook Pack"/>
    <s v="Office Supplies"/>
    <x v="0"/>
    <n v="1"/>
    <n v="12000"/>
    <n v="0"/>
    <n v="12000"/>
    <n v="5080.51"/>
    <s v="Bank Transfer"/>
  </r>
  <r>
    <s v="ORD-0346"/>
    <s v="2025-07-11"/>
    <s v="Customer 129"/>
    <s v="Backpack"/>
    <s v="Office Supplies"/>
    <x v="4"/>
    <n v="4"/>
    <n v="45000"/>
    <n v="0.1"/>
    <n v="162000"/>
    <n v="25464.17"/>
    <s v="Cash"/>
  </r>
  <r>
    <s v="ORD-0347"/>
    <s v="2025-09-05"/>
    <s v="Customer 022"/>
    <s v="Laptop Pro 14"/>
    <s v="Technology"/>
    <x v="1"/>
    <n v="1"/>
    <n v="650000"/>
    <n v="0.05"/>
    <n v="617500"/>
    <n v="186996.31"/>
    <s v="Bank Transfer"/>
  </r>
  <r>
    <s v="ORD-0348"/>
    <s v="2025-06-09"/>
    <s v="Customer 134"/>
    <s v="Notebook Pack"/>
    <s v="Office Supplies"/>
    <x v="2"/>
    <n v="3"/>
    <n v="12000"/>
    <n v="0.1"/>
    <n v="32400"/>
    <n v="4976.8999999999996"/>
    <s v="Cash"/>
  </r>
  <r>
    <s v="ORD-0349"/>
    <s v="2025-02-19"/>
    <s v="Customer 082"/>
    <s v="Backpack"/>
    <s v="Office Supplies"/>
    <x v="1"/>
    <n v="4"/>
    <n v="45000"/>
    <n v="0.2"/>
    <n v="144000"/>
    <n v="11137.31"/>
    <s v="Cash"/>
  </r>
  <r>
    <s v="ORD-0350"/>
    <s v="2025-12-30"/>
    <s v="Customer 028"/>
    <s v="Laptop Pro 14"/>
    <s v="Technology"/>
    <x v="4"/>
    <n v="1"/>
    <n v="650000"/>
    <n v="0"/>
    <n v="650000"/>
    <n v="143468.91"/>
    <s v="Bank Transfer"/>
  </r>
  <r>
    <s v="ORD-0351"/>
    <s v="2025-03-31"/>
    <s v="Customer 110"/>
    <s v="Standing Desk"/>
    <s v="Furniture"/>
    <x v="2"/>
    <n v="5"/>
    <n v="210000"/>
    <n v="0"/>
    <n v="1050000"/>
    <n v="378664.43"/>
    <s v="Bank Transfer"/>
  </r>
  <r>
    <s v="ORD-0352"/>
    <s v="2025-11-19"/>
    <s v="Customer 111"/>
    <s v="Printer"/>
    <s v="Technology"/>
    <x v="2"/>
    <n v="2"/>
    <n v="180000"/>
    <n v="0"/>
    <n v="360000"/>
    <n v="99745.45"/>
    <s v="Card"/>
  </r>
  <r>
    <s v="ORD-0353"/>
    <s v="2025-04-12"/>
    <s v="Customer 002"/>
    <s v="USB-C Hub"/>
    <s v="Technology"/>
    <x v="4"/>
    <n v="4"/>
    <n v="55000"/>
    <n v="0.15"/>
    <n v="187000"/>
    <n v="40484.559999999998"/>
    <s v="Bank Transfer"/>
  </r>
  <r>
    <s v="ORD-0354"/>
    <s v="2025-12-27"/>
    <s v="Customer 138"/>
    <s v="Desk Lamp"/>
    <s v="Furniture"/>
    <x v="4"/>
    <n v="1"/>
    <n v="35000"/>
    <n v="0.15"/>
    <n v="29750"/>
    <n v="9538.44"/>
    <s v="Cash"/>
  </r>
  <r>
    <s v="ORD-0355"/>
    <s v="2025-04-11"/>
    <s v="Customer 126"/>
    <s v="Notebook Pack"/>
    <s v="Office Supplies"/>
    <x v="0"/>
    <n v="4"/>
    <n v="12000"/>
    <n v="0"/>
    <n v="48000"/>
    <n v="18199.900000000001"/>
    <s v="Cash"/>
  </r>
  <r>
    <s v="ORD-0356"/>
    <s v="2025-07-18"/>
    <s v="Customer 090"/>
    <s v="USB-C Hub"/>
    <s v="Technology"/>
    <x v="3"/>
    <n v="5"/>
    <n v="55000"/>
    <n v="0.1"/>
    <n v="247500"/>
    <n v="52664.9"/>
    <s v="Mobile Money"/>
  </r>
  <r>
    <s v="ORD-0357"/>
    <s v="2025-03-30"/>
    <s v="Customer 035"/>
    <s v="USB-C Hub"/>
    <s v="Technology"/>
    <x v="3"/>
    <n v="3"/>
    <n v="55000"/>
    <n v="0.15"/>
    <n v="140250"/>
    <n v="23208"/>
    <s v="Card"/>
  </r>
  <r>
    <s v="ORD-0358"/>
    <s v="2025-06-06"/>
    <s v="Customer 037"/>
    <s v="Office Chair"/>
    <s v="Furniture"/>
    <x v="0"/>
    <n v="1"/>
    <n v="120000"/>
    <n v="0"/>
    <n v="120000"/>
    <n v="41904.879999999997"/>
    <s v="Mobile Money"/>
  </r>
  <r>
    <s v="ORD-0359"/>
    <s v="2025-11-02"/>
    <s v="Customer 048"/>
    <s v="Printer"/>
    <s v="Technology"/>
    <x v="2"/>
    <n v="2"/>
    <n v="180000"/>
    <n v="0.15"/>
    <n v="306000"/>
    <n v="70703.39"/>
    <s v="Bank Transfer"/>
  </r>
  <r>
    <s v="ORD-0360"/>
    <s v="2025-03-27"/>
    <s v="Customer 081"/>
    <s v="Standing Desk"/>
    <s v="Furniture"/>
    <x v="2"/>
    <n v="4"/>
    <n v="210000"/>
    <n v="0.05"/>
    <n v="798000"/>
    <n v="304180.75"/>
    <s v="Card"/>
  </r>
  <r>
    <s v="ORD-0361"/>
    <s v="2025-01-05"/>
    <s v="Customer 099"/>
    <s v="Notebook Pack"/>
    <s v="Office Supplies"/>
    <x v="0"/>
    <n v="4"/>
    <n v="12000"/>
    <n v="0"/>
    <n v="48000"/>
    <n v="19071.13"/>
    <s v="Mobile Money"/>
  </r>
  <r>
    <s v="ORD-0362"/>
    <s v="2025-12-17"/>
    <s v="Customer 114"/>
    <s v="Printer"/>
    <s v="Technology"/>
    <x v="2"/>
    <n v="4"/>
    <n v="180000"/>
    <n v="0.1"/>
    <n v="648000"/>
    <n v="113948.32"/>
    <s v="Bank Transfer"/>
  </r>
  <r>
    <s v="ORD-0363"/>
    <s v="2025-10-17"/>
    <s v="Customer 071"/>
    <s v="Smartphone X"/>
    <s v="Technology"/>
    <x v="4"/>
    <n v="1"/>
    <n v="420000"/>
    <n v="0"/>
    <n v="420000"/>
    <n v="155877"/>
    <s v="Cash"/>
  </r>
  <r>
    <s v="ORD-0364"/>
    <s v="2025-08-23"/>
    <s v="Customer 127"/>
    <s v="Wireless Headphones"/>
    <s v="Technology"/>
    <x v="0"/>
    <n v="5"/>
    <n v="85000"/>
    <n v="0.2"/>
    <n v="340000"/>
    <n v="17600.16"/>
    <s v="Card"/>
  </r>
  <r>
    <s v="ORD-0365"/>
    <s v="2025-02-28"/>
    <s v="Customer 094"/>
    <s v="USB-C Hub"/>
    <s v="Technology"/>
    <x v="0"/>
    <n v="3"/>
    <n v="55000"/>
    <n v="0.15"/>
    <n v="140250"/>
    <n v="12822.75"/>
    <s v="Card"/>
  </r>
  <r>
    <s v="ORD-0366"/>
    <s v="2025-10-07"/>
    <s v="Customer 064"/>
    <s v="Backpack"/>
    <s v="Office Supplies"/>
    <x v="3"/>
    <n v="2"/>
    <n v="45000"/>
    <n v="0.1"/>
    <n v="81000"/>
    <n v="29011.279999999999"/>
    <s v="Card"/>
  </r>
  <r>
    <s v="ORD-0367"/>
    <s v="2025-05-15"/>
    <s v="Customer 031"/>
    <s v="Backpack"/>
    <s v="Office Supplies"/>
    <x v="4"/>
    <n v="3"/>
    <n v="45000"/>
    <n v="0"/>
    <n v="135000"/>
    <n v="44745.9"/>
    <s v="Bank Transfer"/>
  </r>
  <r>
    <s v="ORD-0368"/>
    <s v="2025-12-19"/>
    <s v="Customer 110"/>
    <s v="USB-C Hub"/>
    <s v="Technology"/>
    <x v="4"/>
    <n v="3"/>
    <n v="55000"/>
    <n v="0.2"/>
    <n v="132000"/>
    <n v="14062.84"/>
    <s v="Bank Transfer"/>
  </r>
  <r>
    <s v="ORD-0369"/>
    <s v="2025-04-16"/>
    <s v="Customer 072"/>
    <s v="Office Chair"/>
    <s v="Furniture"/>
    <x v="0"/>
    <n v="1"/>
    <n v="120000"/>
    <n v="0.15"/>
    <n v="102000"/>
    <n v="24633.58"/>
    <s v="Bank Transfer"/>
  </r>
  <r>
    <s v="ORD-0370"/>
    <s v="2025-12-27"/>
    <s v="Customer 132"/>
    <s v="Notebook Pack"/>
    <s v="Office Supplies"/>
    <x v="1"/>
    <n v="3"/>
    <n v="12000"/>
    <n v="0.05"/>
    <n v="34200"/>
    <n v="8833.01"/>
    <s v="Bank Transfer"/>
  </r>
  <r>
    <s v="ORD-0371"/>
    <s v="2025-01-31"/>
    <s v="Customer 034"/>
    <s v="Printer"/>
    <s v="Technology"/>
    <x v="4"/>
    <n v="3"/>
    <n v="180000"/>
    <n v="0.2"/>
    <n v="432000"/>
    <n v="116499.71"/>
    <s v="Bank Transfer"/>
  </r>
  <r>
    <s v="ORD-0372"/>
    <s v="2025-05-07"/>
    <s v="Customer 069"/>
    <s v="Notebook Pack"/>
    <s v="Office Supplies"/>
    <x v="2"/>
    <n v="4"/>
    <n v="12000"/>
    <n v="0.1"/>
    <n v="43200"/>
    <n v="14957.46"/>
    <s v="Mobile Money"/>
  </r>
  <r>
    <s v="ORD-0373"/>
    <s v="2025-02-08"/>
    <s v="Customer 072"/>
    <s v="Backpack"/>
    <s v="Office Supplies"/>
    <x v="3"/>
    <n v="1"/>
    <n v="45000"/>
    <n v="0.1"/>
    <n v="40500"/>
    <n v="9485.2999999999993"/>
    <s v="Mobile Money"/>
  </r>
  <r>
    <s v="ORD-0374"/>
    <s v="2025-06-17"/>
    <s v="Customer 024"/>
    <s v="Backpack"/>
    <s v="Office Supplies"/>
    <x v="2"/>
    <n v="5"/>
    <n v="45000"/>
    <n v="0"/>
    <n v="225000"/>
    <n v="48463.85"/>
    <s v="Cash"/>
  </r>
  <r>
    <s v="ORD-0375"/>
    <s v="2025-10-01"/>
    <s v="Customer 055"/>
    <s v="Smartphone X"/>
    <s v="Technology"/>
    <x v="2"/>
    <n v="4"/>
    <n v="420000"/>
    <n v="0"/>
    <n v="1680000"/>
    <n v="316856.88"/>
    <s v="Cash"/>
  </r>
  <r>
    <s v="ORD-0376"/>
    <s v="2025-05-26"/>
    <s v="Customer 145"/>
    <s v="Notebook Pack"/>
    <s v="Office Supplies"/>
    <x v="2"/>
    <n v="3"/>
    <n v="12000"/>
    <n v="0.15"/>
    <n v="30600"/>
    <n v="5182.49"/>
    <s v="Cash"/>
  </r>
  <r>
    <s v="ORD-0377"/>
    <s v="2025-01-24"/>
    <s v="Customer 118"/>
    <s v="Laptop Pro 14"/>
    <s v="Technology"/>
    <x v="1"/>
    <n v="1"/>
    <n v="650000"/>
    <n v="0.2"/>
    <n v="520000"/>
    <n v="24927.35"/>
    <s v="Card"/>
  </r>
  <r>
    <s v="ORD-0378"/>
    <s v="2025-08-14"/>
    <s v="Customer 110"/>
    <s v="Wireless Headphones"/>
    <s v="Technology"/>
    <x v="4"/>
    <n v="4"/>
    <n v="85000"/>
    <n v="0"/>
    <n v="340000"/>
    <n v="61949.25"/>
    <s v="Bank Transfer"/>
  </r>
  <r>
    <s v="ORD-0379"/>
    <s v="2025-03-23"/>
    <s v="Customer 065"/>
    <s v="Desk Lamp"/>
    <s v="Furniture"/>
    <x v="1"/>
    <n v="3"/>
    <n v="35000"/>
    <n v="0"/>
    <n v="105000"/>
    <n v="28692.43"/>
    <s v="Cash"/>
  </r>
  <r>
    <s v="ORD-0380"/>
    <s v="2025-01-27"/>
    <s v="Customer 060"/>
    <s v="Wireless Headphones"/>
    <s v="Technology"/>
    <x v="2"/>
    <n v="4"/>
    <n v="85000"/>
    <n v="0.2"/>
    <n v="272000"/>
    <n v="56954.25"/>
    <s v="Card"/>
  </r>
  <r>
    <s v="ORD-0381"/>
    <s v="2025-01-01"/>
    <s v="Customer 058"/>
    <s v="Smartphone X"/>
    <s v="Technology"/>
    <x v="0"/>
    <n v="2"/>
    <n v="420000"/>
    <n v="0.1"/>
    <n v="756000"/>
    <n v="276323.5"/>
    <s v="Mobile Money"/>
  </r>
  <r>
    <s v="ORD-0382"/>
    <s v="2025-01-05"/>
    <s v="Customer 109"/>
    <s v="Laptop Pro 14"/>
    <s v="Technology"/>
    <x v="4"/>
    <n v="3"/>
    <n v="650000"/>
    <n v="0"/>
    <n v="1950000"/>
    <n v="357236.44"/>
    <s v="Mobile Money"/>
  </r>
  <r>
    <s v="ORD-0383"/>
    <s v="2025-04-28"/>
    <s v="Customer 027"/>
    <s v="Smartphone X"/>
    <s v="Technology"/>
    <x v="1"/>
    <n v="4"/>
    <n v="420000"/>
    <n v="0"/>
    <n v="1680000"/>
    <n v="424525.73"/>
    <s v="Cash"/>
  </r>
  <r>
    <s v="ORD-0384"/>
    <s v="2025-06-03"/>
    <s v="Customer 035"/>
    <s v="Notebook Pack"/>
    <s v="Office Supplies"/>
    <x v="4"/>
    <n v="2"/>
    <n v="12000"/>
    <n v="0.1"/>
    <n v="21600"/>
    <n v="3387.98"/>
    <s v="Card"/>
  </r>
  <r>
    <s v="ORD-0385"/>
    <s v="2025-10-16"/>
    <s v="Customer 113"/>
    <s v="Standing Desk"/>
    <s v="Furniture"/>
    <x v="3"/>
    <n v="1"/>
    <n v="210000"/>
    <n v="0.15"/>
    <n v="178500"/>
    <n v="26143.85"/>
    <s v="Bank Transfer"/>
  </r>
  <r>
    <s v="ORD-0386"/>
    <s v="2025-07-30"/>
    <s v="Customer 056"/>
    <s v="Wireless Headphones"/>
    <s v="Technology"/>
    <x v="1"/>
    <n v="5"/>
    <n v="85000"/>
    <n v="0.2"/>
    <n v="340000"/>
    <n v="55486.45"/>
    <s v="Card"/>
  </r>
  <r>
    <s v="ORD-0387"/>
    <s v="2025-03-05"/>
    <s v="Customer 110"/>
    <s v="Wireless Headphones"/>
    <s v="Technology"/>
    <x v="3"/>
    <n v="5"/>
    <n v="85000"/>
    <n v="0.2"/>
    <n v="340000"/>
    <n v="62182.34"/>
    <s v="Bank Transfer"/>
  </r>
  <r>
    <s v="ORD-0388"/>
    <s v="2025-05-22"/>
    <s v="Customer 073"/>
    <s v="Office Chair"/>
    <s v="Furniture"/>
    <x v="1"/>
    <n v="1"/>
    <n v="120000"/>
    <n v="0"/>
    <n v="120000"/>
    <n v="36069.949999999997"/>
    <s v="Cash"/>
  </r>
  <r>
    <s v="ORD-0389"/>
    <s v="2025-09-23"/>
    <s v="Customer 101"/>
    <s v="Office Chair"/>
    <s v="Furniture"/>
    <x v="3"/>
    <n v="5"/>
    <n v="120000"/>
    <n v="0.15"/>
    <n v="510000"/>
    <n v="149439.26"/>
    <s v="Card"/>
  </r>
  <r>
    <s v="ORD-0390"/>
    <s v="2025-09-11"/>
    <s v="Customer 019"/>
    <s v="Office Chair"/>
    <s v="Furniture"/>
    <x v="0"/>
    <n v="4"/>
    <n v="120000"/>
    <n v="0"/>
    <n v="480000"/>
    <n v="184755.8"/>
    <s v="Card"/>
  </r>
  <r>
    <s v="ORD-0391"/>
    <s v="2025-06-12"/>
    <s v="Customer 146"/>
    <s v="Notebook Pack"/>
    <s v="Office Supplies"/>
    <x v="2"/>
    <n v="2"/>
    <n v="12000"/>
    <n v="0.1"/>
    <n v="21600"/>
    <n v="2821.93"/>
    <s v="Cash"/>
  </r>
  <r>
    <s v="ORD-0392"/>
    <s v="2025-12-16"/>
    <s v="Customer 019"/>
    <s v="Standing Desk"/>
    <s v="Furniture"/>
    <x v="1"/>
    <n v="2"/>
    <n v="210000"/>
    <n v="0.1"/>
    <n v="378000"/>
    <n v="38765.03"/>
    <s v="Card"/>
  </r>
  <r>
    <s v="ORD-0393"/>
    <s v="2025-05-15"/>
    <s v="Customer 102"/>
    <s v="Laptop Pro 14"/>
    <s v="Technology"/>
    <x v="0"/>
    <n v="2"/>
    <n v="650000"/>
    <n v="0"/>
    <n v="1300000"/>
    <n v="261174.67"/>
    <s v="Cash"/>
  </r>
  <r>
    <s v="ORD-0394"/>
    <s v="2025-08-01"/>
    <s v="Customer 138"/>
    <s v="Standing Desk"/>
    <s v="Furniture"/>
    <x v="0"/>
    <n v="4"/>
    <n v="210000"/>
    <n v="0.2"/>
    <n v="672000"/>
    <n v="118763.48"/>
    <s v="Bank Transfer"/>
  </r>
  <r>
    <s v="ORD-0395"/>
    <s v="2025-02-12"/>
    <s v="Customer 053"/>
    <s v="Desk Lamp"/>
    <s v="Furniture"/>
    <x v="4"/>
    <n v="3"/>
    <n v="35000"/>
    <n v="0"/>
    <n v="105000"/>
    <n v="32754.51"/>
    <s v="Cash"/>
  </r>
  <r>
    <s v="ORD-0396"/>
    <s v="2025-10-28"/>
    <s v="Customer 062"/>
    <s v="Printer"/>
    <s v="Technology"/>
    <x v="1"/>
    <n v="1"/>
    <n v="180000"/>
    <n v="0.05"/>
    <n v="171000"/>
    <n v="38044.35"/>
    <s v="Bank Transfer"/>
  </r>
  <r>
    <s v="ORD-0397"/>
    <s v="2025-08-11"/>
    <s v="Customer 015"/>
    <s v="Smartphone X"/>
    <s v="Technology"/>
    <x v="3"/>
    <n v="1"/>
    <n v="420000"/>
    <n v="0.1"/>
    <n v="378000"/>
    <n v="77565.539999999994"/>
    <s v="Bank Transfer"/>
  </r>
  <r>
    <s v="ORD-0398"/>
    <s v="2025-01-07"/>
    <s v="Customer 128"/>
    <s v="Smartphone X"/>
    <s v="Technology"/>
    <x v="3"/>
    <n v="2"/>
    <n v="420000"/>
    <n v="0.2"/>
    <n v="672000"/>
    <n v="207425.68"/>
    <s v="Cash"/>
  </r>
  <r>
    <s v="ORD-0399"/>
    <s v="2025-07-10"/>
    <s v="Customer 069"/>
    <s v="Wireless Headphones"/>
    <s v="Technology"/>
    <x v="1"/>
    <n v="2"/>
    <n v="85000"/>
    <n v="0.2"/>
    <n v="136000"/>
    <n v="6646.41"/>
    <s v="Card"/>
  </r>
  <r>
    <s v="ORD-0400"/>
    <s v="2025-08-08"/>
    <s v="Customer 148"/>
    <s v="Notebook Pack"/>
    <s v="Office Supplies"/>
    <x v="1"/>
    <n v="3"/>
    <n v="12000"/>
    <n v="0.15"/>
    <n v="30600"/>
    <n v="10179.16"/>
    <s v="Mobile Money"/>
  </r>
  <r>
    <s v="ORD-0401"/>
    <s v="2025-09-19"/>
    <s v="Customer 146"/>
    <s v="Backpack"/>
    <s v="Office Supplies"/>
    <x v="4"/>
    <n v="3"/>
    <n v="45000"/>
    <n v="0"/>
    <n v="135000"/>
    <n v="42539.22"/>
    <s v="Cash"/>
  </r>
  <r>
    <s v="ORD-0401"/>
    <s v="2025-05-11"/>
    <s v="Customer 030"/>
    <s v="Wireless Headphones"/>
    <s v="Technology"/>
    <x v="4"/>
    <n v="1"/>
    <n v="85000"/>
    <n v="0.15"/>
    <n v="72250"/>
    <n v="10028.94"/>
    <s v="Card"/>
  </r>
  <r>
    <s v="ORD-0403"/>
    <s v="2025-01-07"/>
    <s v="Customer 099"/>
    <s v="Laptop Pro 14"/>
    <s v="Technology"/>
    <x v="4"/>
    <n v="2"/>
    <n v="650000"/>
    <n v="0"/>
    <n v="1300000"/>
    <n v="419410.63"/>
    <s v="Bank Transfer"/>
  </r>
  <r>
    <s v="ORD-0404"/>
    <s v="2025-10-11"/>
    <s v="Customer 107"/>
    <s v="Laptop Pro 14"/>
    <s v="Technology"/>
    <x v="3"/>
    <n v="4"/>
    <n v="650000"/>
    <n v="0"/>
    <n v="2600000"/>
    <n v="944094.99"/>
    <s v="Cash"/>
  </r>
  <r>
    <s v="ORD-0405"/>
    <s v="2025-10-20"/>
    <s v="Customer 014"/>
    <s v="Smartphone X"/>
    <s v="Technology"/>
    <x v="4"/>
    <n v="3"/>
    <n v="420000"/>
    <n v="0"/>
    <n v="1260000"/>
    <n v="396205.67"/>
    <s v="Bank Transfer"/>
  </r>
  <r>
    <s v="ORD-0406"/>
    <s v="2025-01-24"/>
    <s v="Customer 073"/>
    <s v="Standing Desk"/>
    <s v="Furniture"/>
    <x v="3"/>
    <n v="4"/>
    <n v="210000"/>
    <n v="0"/>
    <n v="840000"/>
    <n v="179098.39"/>
    <s v="Cash"/>
  </r>
  <r>
    <s v="ORD-0407"/>
    <s v="2025-10-11"/>
    <s v="Customer 075"/>
    <s v="Smartphone X"/>
    <s v="Technology"/>
    <x v="0"/>
    <n v="4"/>
    <n v="420000"/>
    <n v="0"/>
    <n v="1680000"/>
    <n v="588658.18000000005"/>
    <s v="Cash"/>
  </r>
  <r>
    <s v="ORD-0408"/>
    <s v="2025-05-05"/>
    <s v="Customer 127"/>
    <s v="USB-C Hub"/>
    <s v="Technology"/>
    <x v="4"/>
    <n v="4"/>
    <n v="55000"/>
    <n v="0.05"/>
    <n v="209000"/>
    <n v="52853.56"/>
    <s v="Bank Transfer"/>
  </r>
  <r>
    <s v="ORD-0409"/>
    <s v="2025-01-04"/>
    <s v="Customer 089"/>
    <s v="Wireless Headphones"/>
    <s v="Technology"/>
    <x v="1"/>
    <n v="4"/>
    <n v="85000"/>
    <n v="0"/>
    <n v="340000"/>
    <n v="131610.81"/>
    <s v="Cash"/>
  </r>
  <r>
    <s v="ORD-0410"/>
    <s v="2025-12-03"/>
    <s v="Customer 027"/>
    <s v="Laptop Pro 14"/>
    <s v="Technology"/>
    <x v="4"/>
    <n v="4"/>
    <n v="650000"/>
    <n v="0.2"/>
    <n v="2080000"/>
    <n v="139495.04000000001"/>
    <s v="Bank Transfer"/>
  </r>
  <r>
    <s v="ORD-0411"/>
    <s v="2025-09-09"/>
    <s v="Customer 024"/>
    <s v="Printer"/>
    <s v="Technology"/>
    <x v="1"/>
    <n v="1"/>
    <n v="180000"/>
    <n v="0"/>
    <n v="180000"/>
    <n v="46413.69"/>
    <s v="Bank Transfer"/>
  </r>
  <r>
    <s v="ORD-0412"/>
    <s v="2025-07-31"/>
    <s v="Customer 022"/>
    <s v="Standing Desk"/>
    <s v="Furniture"/>
    <x v="0"/>
    <n v="3"/>
    <n v="210000"/>
    <n v="0.1"/>
    <n v="567000"/>
    <n v="54728.23"/>
    <s v="Card"/>
  </r>
  <r>
    <s v="ORD-0413"/>
    <s v="2025-03-10"/>
    <s v="Customer 016"/>
    <s v="Standing Desk"/>
    <s v="Furniture"/>
    <x v="2"/>
    <n v="4"/>
    <n v="210000"/>
    <n v="0"/>
    <n v="840000"/>
    <n v="243758.04"/>
    <s v="Bank Transfer"/>
  </r>
  <r>
    <s v="ORD-0414"/>
    <s v="2025-05-30"/>
    <s v="Customer 101"/>
    <s v="Office Chair"/>
    <s v="Furniture"/>
    <x v="3"/>
    <n v="3"/>
    <n v="120000"/>
    <n v="0.05"/>
    <n v="342000"/>
    <n v="53988.72"/>
    <s v="Cash"/>
  </r>
  <r>
    <s v="ORD-0415"/>
    <s v="2025-05-20"/>
    <s v="Customer 035"/>
    <s v="Backpack"/>
    <s v="Office Supplies"/>
    <x v="0"/>
    <n v="2"/>
    <n v="45000"/>
    <n v="0"/>
    <n v="90000"/>
    <n v="17571.62"/>
    <s v="Card"/>
  </r>
  <r>
    <s v="ORD-0416"/>
    <s v="2025-02-24"/>
    <s v="Customer 105"/>
    <s v="Wireless Headphones"/>
    <s v="Technology"/>
    <x v="1"/>
    <n v="2"/>
    <n v="85000"/>
    <n v="0.1"/>
    <n v="153000"/>
    <n v="38108.07"/>
    <s v="Cash"/>
  </r>
  <r>
    <s v="ORD-0417"/>
    <s v="2025-08-20"/>
    <s v="Customer 031"/>
    <s v="Office Chair"/>
    <s v="Furniture"/>
    <x v="1"/>
    <n v="3"/>
    <n v="120000"/>
    <n v="0.1"/>
    <n v="324000"/>
    <n v="100241.23"/>
    <s v="Bank Transfer"/>
  </r>
  <r>
    <s v="ORD-0418"/>
    <s v="2025-12-27"/>
    <s v="Customer 084"/>
    <s v="Desk Lamp"/>
    <s v="Furniture"/>
    <x v="4"/>
    <n v="5"/>
    <n v="35000"/>
    <n v="0"/>
    <n v="175000"/>
    <n v="68590.27"/>
    <s v="Card"/>
  </r>
  <r>
    <s v="ORD-0419"/>
    <s v="2025-07-02"/>
    <s v="Customer 077"/>
    <s v="Office Chair"/>
    <s v="Furniture"/>
    <x v="3"/>
    <n v="4"/>
    <n v="120000"/>
    <n v="0.15"/>
    <n v="408000"/>
    <n v="137656"/>
    <s v="Bank Transfer"/>
  </r>
  <r>
    <s v="ORD-0420"/>
    <s v="2025-07-27"/>
    <s v="Customer 064"/>
    <s v="Laptop Pro 14"/>
    <s v="Technology"/>
    <x v="1"/>
    <n v="4"/>
    <n v="650000"/>
    <n v="0.15"/>
    <n v="2210000"/>
    <n v="254848.93"/>
    <s v="Mobile Money"/>
  </r>
  <r>
    <s v="ORD-0421"/>
    <s v="2025-03-13"/>
    <s v="Customer 057"/>
    <s v="Smartphone X"/>
    <s v="Technology"/>
    <x v="4"/>
    <n v="1"/>
    <n v="420000"/>
    <n v="0"/>
    <n v="420000"/>
    <n v="182006.71"/>
    <s v="Bank Transfer"/>
  </r>
  <r>
    <s v="ORD-0422"/>
    <s v="2025-07-10"/>
    <s v="Customer 020"/>
    <s v="Printer"/>
    <s v="Technology"/>
    <x v="1"/>
    <n v="1"/>
    <n v="180000"/>
    <n v="0.15"/>
    <n v="153000"/>
    <n v="25514.63"/>
    <s v="Card"/>
  </r>
  <r>
    <s v="ORD-0423"/>
    <s v="2025-11-27"/>
    <s v="Customer 085"/>
    <s v="Office Chair"/>
    <s v="Furniture"/>
    <x v="1"/>
    <n v="4"/>
    <n v="120000"/>
    <n v="0"/>
    <n v="480000"/>
    <n v="204079.57"/>
    <s v="Card"/>
  </r>
  <r>
    <s v="ORD-0424"/>
    <s v="2025-01-26"/>
    <s v="Customer 102"/>
    <s v="Backpack"/>
    <s v="Office Supplies"/>
    <x v="2"/>
    <n v="2"/>
    <n v="45000"/>
    <n v="0.15"/>
    <n v="76500"/>
    <n v="16474.3"/>
    <s v="Card"/>
  </r>
  <r>
    <s v="ORD-0425"/>
    <s v="2025-12-16"/>
    <s v="Customer 048"/>
    <s v="Printer"/>
    <s v="Technology"/>
    <x v="3"/>
    <n v="4"/>
    <n v="180000"/>
    <n v="0"/>
    <n v="720000"/>
    <n v="255193.43"/>
    <s v="Cash"/>
  </r>
  <r>
    <s v="ORD-0426"/>
    <s v="2025-03-18"/>
    <s v="Customer 063"/>
    <s v="Backpack"/>
    <s v="Office Supplies"/>
    <x v="3"/>
    <n v="1"/>
    <n v="45000"/>
    <n v="0.15"/>
    <n v="38250"/>
    <n v="5977"/>
    <s v="Mobile Money"/>
  </r>
  <r>
    <s v="ORD-0427"/>
    <s v="2025-10-09"/>
    <s v="Customer 099"/>
    <s v="Printer"/>
    <s v="Technology"/>
    <x v="4"/>
    <n v="4"/>
    <n v="180000"/>
    <n v="0"/>
    <n v="720000"/>
    <n v="306946.93"/>
    <s v="Mobile Money"/>
  </r>
  <r>
    <s v="ORD-0428"/>
    <s v="2025-11-26"/>
    <s v="Customer 140"/>
    <s v="Office Chair"/>
    <s v="Furniture"/>
    <x v="1"/>
    <n v="5"/>
    <n v="120000"/>
    <n v="0"/>
    <n v="600000"/>
    <n v="167817.79"/>
    <s v="Mobile Money"/>
  </r>
  <r>
    <s v="ORD-0429"/>
    <s v="2025-09-03"/>
    <s v="Customer 145"/>
    <s v="Notebook Pack"/>
    <s v="Office Supplies"/>
    <x v="0"/>
    <n v="5"/>
    <n v="12000"/>
    <n v="0.1"/>
    <n v="54000"/>
    <n v="15426.65"/>
    <s v="Cash"/>
  </r>
  <r>
    <s v="ORD-0430"/>
    <s v="2025-05-19"/>
    <s v="Customer 057"/>
    <s v="Printer"/>
    <s v="Technology"/>
    <x v="1"/>
    <n v="2"/>
    <n v="180000"/>
    <n v="0"/>
    <n v="360000"/>
    <n v="131005.1"/>
    <s v="Cash"/>
  </r>
  <r>
    <s v="ORD-0431"/>
    <s v="2025-08-30"/>
    <s v="Customer 060"/>
    <s v="Laptop Pro 14"/>
    <s v="Technology"/>
    <x v="4"/>
    <n v="5"/>
    <n v="650000"/>
    <n v="0.05"/>
    <n v="3087500"/>
    <n v="627096"/>
    <s v="Card"/>
  </r>
  <r>
    <s v="ORD-0432"/>
    <s v="2025-12-03"/>
    <s v="Customer 015"/>
    <s v="Office Chair"/>
    <s v="Furniture"/>
    <x v="4"/>
    <n v="2"/>
    <n v="120000"/>
    <n v="0.05"/>
    <n v="228000"/>
    <n v="61416.92"/>
    <s v="Mobile Money"/>
  </r>
  <r>
    <s v="ORD-0433"/>
    <s v="2025-03-30"/>
    <s v="Customer 092"/>
    <s v="Notebook Pack"/>
    <s v="Office Supplies"/>
    <x v="0"/>
    <n v="2"/>
    <n v="12000"/>
    <n v="0"/>
    <n v="24000"/>
    <n v="6960.47"/>
    <s v="Card"/>
  </r>
  <r>
    <s v="ORD-0434"/>
    <s v="2025-10-18"/>
    <s v="Customer 049"/>
    <s v="Notebook Pack"/>
    <s v="Office Supplies"/>
    <x v="2"/>
    <n v="5"/>
    <n v="12000"/>
    <n v="0"/>
    <n v="60000"/>
    <n v="17877.64"/>
    <s v="Cash"/>
  </r>
  <r>
    <s v="ORD-0435"/>
    <s v="2025-09-09"/>
    <s v="Customer 057"/>
    <s v="Wireless Headphones"/>
    <s v="Technology"/>
    <x v="1"/>
    <n v="1"/>
    <n v="85000"/>
    <n v="0"/>
    <n v="85000"/>
    <n v="36960.94"/>
    <s v="Mobile Money"/>
  </r>
  <r>
    <s v="ORD-0436"/>
    <s v="2025-06-19"/>
    <s v="Customer 088"/>
    <s v="Laptop Pro 14"/>
    <s v="Technology"/>
    <x v="4"/>
    <n v="5"/>
    <n v="650000"/>
    <n v="0"/>
    <n v="3250000"/>
    <n v="754844.15"/>
    <s v="Cash"/>
  </r>
  <r>
    <s v="ORD-0437"/>
    <s v="2025-01-12"/>
    <s v="Customer 037"/>
    <s v="Laptop Pro 14"/>
    <s v="Technology"/>
    <x v="1"/>
    <n v="2"/>
    <n v="650000"/>
    <n v="0.15"/>
    <n v="1105000"/>
    <n v="142651.57999999999"/>
    <s v="Cash"/>
  </r>
  <r>
    <s v="ORD-0438"/>
    <s v="2025-07-11"/>
    <s v="Customer 078"/>
    <s v="Smartphone X"/>
    <s v="Technology"/>
    <x v="3"/>
    <n v="4"/>
    <n v="420000"/>
    <n v="0.15"/>
    <n v="1428000"/>
    <n v="458171.81"/>
    <s v="Bank Transfer"/>
  </r>
  <r>
    <s v="ORD-0439"/>
    <s v="2025-08-12"/>
    <s v="Customer 144"/>
    <s v="Wireless Headphones"/>
    <s v="Technology"/>
    <x v="0"/>
    <n v="4"/>
    <n v="85000"/>
    <n v="0.2"/>
    <n v="272000"/>
    <n v="55873.38"/>
    <s v="Cash"/>
  </r>
  <r>
    <s v="ORD-0440"/>
    <s v="2025-12-07"/>
    <s v="Customer 076"/>
    <s v="Office Chair"/>
    <s v="Furniture"/>
    <x v="4"/>
    <n v="5"/>
    <n v="120000"/>
    <n v="0"/>
    <n v="600000"/>
    <n v="208701.77"/>
    <s v="Bank Transfer"/>
  </r>
  <r>
    <s v="ORD-0441"/>
    <s v="2025-12-26"/>
    <s v="Customer 146"/>
    <s v="Laptop Pro 14"/>
    <s v="Technology"/>
    <x v="1"/>
    <n v="5"/>
    <n v="650000"/>
    <n v="0.1"/>
    <n v="2925000"/>
    <n v="390960.76"/>
    <s v="Bank Transfer"/>
  </r>
  <r>
    <s v="ORD-0442"/>
    <s v="2025-06-12"/>
    <s v="Customer 027"/>
    <s v="USB-C Hub"/>
    <s v="Technology"/>
    <x v="2"/>
    <n v="5"/>
    <n v="55000"/>
    <n v="0"/>
    <n v="275000"/>
    <n v="76256.23"/>
    <s v="Bank Transfer"/>
  </r>
  <r>
    <s v="ORD-0443"/>
    <s v="2025-02-09"/>
    <s v="Customer 043"/>
    <s v="Notebook Pack"/>
    <s v="Office Supplies"/>
    <x v="1"/>
    <n v="2"/>
    <n v="12000"/>
    <n v="0.05"/>
    <n v="22800"/>
    <n v="3234.18"/>
    <s v="Cash"/>
  </r>
  <r>
    <s v="ORD-0444"/>
    <s v="2025-01-06"/>
    <s v="Customer 018"/>
    <s v="Backpack"/>
    <s v="Office Supplies"/>
    <x v="3"/>
    <n v="3"/>
    <n v="45000"/>
    <n v="0"/>
    <n v="135000"/>
    <n v="51654.239999999998"/>
    <s v="Cash"/>
  </r>
  <r>
    <s v="ORD-0445"/>
    <s v="2025-01-01"/>
    <s v="Customer 108"/>
    <s v="Smartphone X"/>
    <s v="Technology"/>
    <x v="4"/>
    <n v="1"/>
    <n v="420000"/>
    <n v="0.1"/>
    <n v="378000"/>
    <n v="97305.84"/>
    <s v="Mobile Money"/>
  </r>
  <r>
    <s v="ORD-0446"/>
    <s v="2025-07-13"/>
    <s v="Customer 123"/>
    <s v="Backpack"/>
    <s v="Office Supplies"/>
    <x v="0"/>
    <n v="3"/>
    <n v="45000"/>
    <n v="0.15"/>
    <n v="114750"/>
    <n v="26818.58"/>
    <s v="Bank Transfer"/>
  </r>
  <r>
    <s v="ORD-0447"/>
    <s v="2025-08-20"/>
    <s v="Customer 082"/>
    <s v="Wireless Headphones"/>
    <s v="Technology"/>
    <x v="3"/>
    <n v="1"/>
    <n v="85000"/>
    <n v="0"/>
    <n v="85000"/>
    <n v="31481.85"/>
    <s v="Card"/>
  </r>
  <r>
    <s v="ORD-0448"/>
    <s v="2025-06-25"/>
    <s v="Customer 020"/>
    <s v="Smartphone X"/>
    <s v="Technology"/>
    <x v="0"/>
    <n v="2"/>
    <n v="420000"/>
    <n v="0.1"/>
    <n v="756000"/>
    <n v="257506.86"/>
    <s v="Card"/>
  </r>
  <r>
    <s v="ORD-0449"/>
    <s v="2025-11-01"/>
    <s v="Customer 111"/>
    <s v="Notebook Pack"/>
    <s v="Office Supplies"/>
    <x v="4"/>
    <n v="5"/>
    <n v="12000"/>
    <n v="0.1"/>
    <n v="54000"/>
    <n v="9587.02"/>
    <s v="Mobile Money"/>
  </r>
  <r>
    <s v="ORD-0450"/>
    <s v="2025-01-28"/>
    <s v="Customer 049"/>
    <s v="Wireless Headphones"/>
    <s v="Technology"/>
    <x v="2"/>
    <n v="1"/>
    <n v="85000"/>
    <n v="0.05"/>
    <n v="80750"/>
    <n v="29282.62"/>
    <s v="Cash"/>
  </r>
  <r>
    <s v="ORD-0451"/>
    <s v="2025-06-02"/>
    <s v="Customer 147"/>
    <s v="Desk Lamp"/>
    <s v="Furniture"/>
    <x v="0"/>
    <n v="2"/>
    <n v="35000"/>
    <n v="0"/>
    <n v="70000"/>
    <n v="30561.89"/>
    <s v="Mobile Money"/>
  </r>
  <r>
    <s v="ORD-0452"/>
    <s v="2025-01-28"/>
    <s v="Customer 076"/>
    <s v="Wireless Headphones"/>
    <s v="Technology"/>
    <x v="0"/>
    <n v="3"/>
    <n v="85000"/>
    <n v="0"/>
    <n v="255000"/>
    <n v="85309.33"/>
    <s v="Mobile Money"/>
  </r>
  <r>
    <s v="ORD-0453"/>
    <s v="2025-02-19"/>
    <s v="Customer 075"/>
    <s v="Office Chair"/>
    <s v="Furniture"/>
    <x v="1"/>
    <n v="1"/>
    <n v="120000"/>
    <n v="0"/>
    <n v="120000"/>
    <n v="48465.04"/>
    <s v="Mobile Money"/>
  </r>
  <r>
    <s v="ORD-0454"/>
    <s v="2025-06-07"/>
    <s v="Customer 068"/>
    <s v="Smartphone X"/>
    <s v="Technology"/>
    <x v="1"/>
    <n v="4"/>
    <n v="420000"/>
    <n v="0.1"/>
    <n v="1512000"/>
    <n v="366145.69"/>
    <s v="Mobile Money"/>
  </r>
  <r>
    <s v="ORD-0455"/>
    <s v="2025-07-09"/>
    <s v="Customer 012"/>
    <s v="Wireless Headphones"/>
    <s v="Technology"/>
    <x v="3"/>
    <n v="4"/>
    <n v="85000"/>
    <n v="0.05"/>
    <n v="323000"/>
    <n v="118871.69"/>
    <s v="Mobile Money"/>
  </r>
  <r>
    <s v="ORD-0456"/>
    <s v="2025-05-15"/>
    <s v="Customer 039"/>
    <s v="Backpack"/>
    <s v="Office Supplies"/>
    <x v="1"/>
    <n v="2"/>
    <n v="45000"/>
    <n v="0.05"/>
    <n v="85500"/>
    <n v="22288.81"/>
    <s v="Card"/>
  </r>
  <r>
    <s v="ORD-0457"/>
    <s v="2025-10-05"/>
    <s v="Customer 016"/>
    <s v="Notebook Pack"/>
    <s v="Office Supplies"/>
    <x v="2"/>
    <n v="4"/>
    <n v="12000"/>
    <n v="0.15"/>
    <n v="40800"/>
    <n v="11451.43"/>
    <s v="Mobile Money"/>
  </r>
  <r>
    <s v="ORD-0458"/>
    <s v="2025-12-18"/>
    <s v="Customer 122"/>
    <s v="Standing Desk"/>
    <s v="Furniture"/>
    <x v="3"/>
    <n v="4"/>
    <n v="210000"/>
    <n v="0.15"/>
    <n v="714000"/>
    <n v="52040.9"/>
    <s v="Card"/>
  </r>
  <r>
    <s v="ORD-0459"/>
    <s v="2025-01-18"/>
    <s v="Customer 147"/>
    <s v="Printer"/>
    <s v="Technology"/>
    <x v="0"/>
    <n v="5"/>
    <n v="180000"/>
    <n v="0.15"/>
    <n v="765000"/>
    <n v="51189.42"/>
    <s v="Bank Transfer"/>
  </r>
  <r>
    <s v="ORD-0460"/>
    <s v="2025-08-18"/>
    <s v="Customer 050"/>
    <s v="Smartphone X"/>
    <s v="Technology"/>
    <x v="4"/>
    <n v="2"/>
    <n v="420000"/>
    <n v="0"/>
    <n v="840000"/>
    <n v="157513.01"/>
    <s v="Card"/>
  </r>
  <r>
    <s v="ORD-0461"/>
    <s v="2025-02-10"/>
    <s v="Customer 038"/>
    <s v="Printer"/>
    <s v="Technology"/>
    <x v="0"/>
    <n v="4"/>
    <n v="180000"/>
    <n v="0"/>
    <n v="720000"/>
    <n v="130130.86"/>
    <s v="Cash"/>
  </r>
  <r>
    <s v="ORD-0462"/>
    <s v="2025-02-04"/>
    <s v="Customer 142"/>
    <s v="Notebook Pack"/>
    <s v="Office Supplies"/>
    <x v="3"/>
    <n v="1"/>
    <n v="12000"/>
    <n v="0.1"/>
    <n v="10800"/>
    <n v="2397.38"/>
    <s v="Cash"/>
  </r>
  <r>
    <s v="ORD-0463"/>
    <s v="2025-08-23"/>
    <s v="Customer 134"/>
    <s v="Standing Desk"/>
    <s v="Furniture"/>
    <x v="2"/>
    <n v="1"/>
    <n v="210000"/>
    <n v="0.2"/>
    <n v="168000"/>
    <n v="17172.62"/>
    <s v="Card"/>
  </r>
  <r>
    <s v="ORD-0464"/>
    <s v="2025-03-18"/>
    <s v="Customer 026"/>
    <s v="Printer"/>
    <s v="Technology"/>
    <x v="1"/>
    <n v="2"/>
    <n v="180000"/>
    <n v="0.15"/>
    <n v="306000"/>
    <n v="50852.800000000003"/>
    <s v="Card"/>
  </r>
  <r>
    <s v="ORD-0465"/>
    <s v="2025-10-02"/>
    <s v="Customer 125"/>
    <s v="Desk Lamp"/>
    <s v="Furniture"/>
    <x v="0"/>
    <n v="3"/>
    <n v="35000"/>
    <n v="0.1"/>
    <n v="94500"/>
    <n v="29261.73"/>
    <s v="Mobile Money"/>
  </r>
  <r>
    <s v="ORD-0466"/>
    <s v="2025-03-30"/>
    <s v="Customer 103"/>
    <s v="Laptop Pro 14"/>
    <s v="Technology"/>
    <x v="1"/>
    <n v="3"/>
    <n v="650000"/>
    <n v="0.1"/>
    <n v="1755000"/>
    <n v="606761.56999999995"/>
    <s v="Mobile Money"/>
  </r>
  <r>
    <s v="ORD-0467"/>
    <s v="2025-12-20"/>
    <s v="Customer 069"/>
    <s v="Notebook Pack"/>
    <s v="Office Supplies"/>
    <x v="3"/>
    <n v="2"/>
    <n v="12000"/>
    <n v="0"/>
    <n v="24000"/>
    <n v="5967.54"/>
    <s v="Card"/>
  </r>
  <r>
    <s v="ORD-0468"/>
    <s v="2025-06-05"/>
    <s v="Customer 026"/>
    <s v="Notebook Pack"/>
    <s v="Office Supplies"/>
    <x v="4"/>
    <n v="3"/>
    <n v="12000"/>
    <n v="0.05"/>
    <n v="34200"/>
    <n v="6207.53"/>
    <s v="Bank Transfer"/>
  </r>
  <r>
    <s v="ORD-0469"/>
    <s v="2025-08-15"/>
    <s v="Customer 023"/>
    <s v="Desk Lamp"/>
    <s v="Furniture"/>
    <x v="4"/>
    <n v="3"/>
    <n v="35000"/>
    <n v="0.05"/>
    <n v="99750"/>
    <n v="21338.54"/>
    <s v="Mobile Money"/>
  </r>
  <r>
    <s v="ORD-0470"/>
    <s v="2025-07-28"/>
    <s v="Customer 015"/>
    <s v="Office Chair"/>
    <s v="Furniture"/>
    <x v="0"/>
    <n v="4"/>
    <n v="120000"/>
    <n v="0.15"/>
    <n v="408000"/>
    <n v="31612.31"/>
    <s v="Bank Transfer"/>
  </r>
  <r>
    <s v="ORD-0471"/>
    <s v="2025-06-09"/>
    <s v="Customer 135"/>
    <s v="Smartphone X"/>
    <s v="Technology"/>
    <x v="0"/>
    <n v="5"/>
    <n v="420000"/>
    <n v="0.1"/>
    <n v="1890000"/>
    <n v="658086.55000000005"/>
    <s v="Card"/>
  </r>
  <r>
    <s v="ORD-0472"/>
    <s v="2025-04-09"/>
    <s v="Customer 117"/>
    <s v="Wireless Headphones"/>
    <s v="Technology"/>
    <x v="1"/>
    <n v="2"/>
    <n v="85000"/>
    <n v="0"/>
    <n v="170000"/>
    <n v="65048.4"/>
    <s v="Cash"/>
  </r>
  <r>
    <s v="ORD-0473"/>
    <s v="2025-05-21"/>
    <s v="Customer 032"/>
    <s v="Office Chair"/>
    <s v="Furniture"/>
    <x v="1"/>
    <n v="3"/>
    <n v="120000"/>
    <n v="0.1"/>
    <n v="324000"/>
    <n v="76901.72"/>
    <s v="Bank Transfer"/>
  </r>
  <r>
    <s v="ORD-0474"/>
    <s v="2025-09-08"/>
    <s v="Customer 122"/>
    <s v="Notebook Pack"/>
    <s v="Office Supplies"/>
    <x v="0"/>
    <n v="5"/>
    <n v="12000"/>
    <n v="0.1"/>
    <n v="54000"/>
    <n v="18123.14"/>
    <s v="Cash"/>
  </r>
  <r>
    <s v="ORD-0475"/>
    <s v="2025-03-25"/>
    <s v="Customer 024"/>
    <s v="Notebook Pack"/>
    <s v="Office Supplies"/>
    <x v="3"/>
    <n v="3"/>
    <n v="12000"/>
    <n v="0.2"/>
    <n v="28800"/>
    <n v="923.94"/>
    <s v="Card"/>
  </r>
  <r>
    <s v="ORD-0476"/>
    <s v="2025-01-26"/>
    <s v="Customer 055"/>
    <s v="Printer"/>
    <s v="Technology"/>
    <x v="4"/>
    <n v="2"/>
    <n v="180000"/>
    <n v="0.15"/>
    <n v="306000"/>
    <n v="32200.51"/>
    <s v="Bank Transfer"/>
  </r>
  <r>
    <s v="ORD-0477"/>
    <s v="2025-05-18"/>
    <s v="Customer 003"/>
    <s v="Office Chair"/>
    <s v="Furniture"/>
    <x v="2"/>
    <n v="4"/>
    <n v="120000"/>
    <n v="0.15"/>
    <n v="408000"/>
    <n v="141401.21"/>
    <s v="Bank Transfer"/>
  </r>
  <r>
    <s v="ORD-0478"/>
    <s v="2025-11-04"/>
    <s v="Customer 079"/>
    <s v="Wireless Headphones"/>
    <s v="Technology"/>
    <x v="3"/>
    <n v="1"/>
    <n v="85000"/>
    <n v="0"/>
    <n v="85000"/>
    <n v="32457.64"/>
    <s v="Mobile Money"/>
  </r>
  <r>
    <s v="ORD-0479"/>
    <s v="2025-06-28"/>
    <s v="Customer 078"/>
    <s v="Printer"/>
    <s v="Technology"/>
    <x v="0"/>
    <n v="4"/>
    <n v="180000"/>
    <n v="0.05"/>
    <n v="684000"/>
    <n v="245580.16"/>
    <s v="Mobile Money"/>
  </r>
  <r>
    <s v="ORD-0480"/>
    <s v="2025-02-22"/>
    <s v="Customer 096"/>
    <s v="USB-C Hub"/>
    <s v="Technology"/>
    <x v="0"/>
    <n v="1"/>
    <n v="55000"/>
    <n v="0.15"/>
    <n v="46750"/>
    <n v="1658.47"/>
    <s v="Cash"/>
  </r>
  <r>
    <s v="ORD-0481"/>
    <s v="2025-12-17"/>
    <s v="Customer 071"/>
    <s v="Desk Lamp"/>
    <s v="Furniture"/>
    <x v="3"/>
    <n v="1"/>
    <n v="35000"/>
    <n v="0.1"/>
    <n v="31500"/>
    <n v="11646.74"/>
    <s v="Cash"/>
  </r>
  <r>
    <s v="ORD-0482"/>
    <s v="2025-12-02"/>
    <s v="Customer 062"/>
    <s v="Desk Lamp"/>
    <s v="Furniture"/>
    <x v="1"/>
    <n v="3"/>
    <n v="35000"/>
    <n v="0"/>
    <n v="105000"/>
    <n v="42999.5"/>
    <s v="Mobile Money"/>
  </r>
  <r>
    <s v="ORD-0483"/>
    <s v="2025-12-15"/>
    <s v="Customer 128"/>
    <s v="Notebook Pack"/>
    <s v="Office Supplies"/>
    <x v="3"/>
    <n v="2"/>
    <n v="12000"/>
    <n v="0.2"/>
    <n v="19200"/>
    <n v="5835.05"/>
    <s v="Cash"/>
  </r>
  <r>
    <s v="ORD-0484"/>
    <s v="2025-07-27"/>
    <s v="Customer 147"/>
    <s v="Printer"/>
    <s v="Technology"/>
    <x v="4"/>
    <n v="4"/>
    <n v="180000"/>
    <n v="0.2"/>
    <n v="576000"/>
    <n v="173133.99"/>
    <s v="Cash"/>
  </r>
  <r>
    <s v="ORD-0485"/>
    <s v="2025-12-18"/>
    <s v="Customer 092"/>
    <s v="Office Chair"/>
    <s v="Furniture"/>
    <x v="0"/>
    <n v="5"/>
    <n v="120000"/>
    <n v="0.2"/>
    <n v="480000"/>
    <n v="22846.68"/>
    <s v="Cash"/>
  </r>
  <r>
    <s v="ORD-0486"/>
    <s v="2025-12-03"/>
    <s v="Customer 121"/>
    <s v="Wireless Headphones"/>
    <s v="Technology"/>
    <x v="4"/>
    <n v="5"/>
    <n v="85000"/>
    <n v="0"/>
    <n v="425000"/>
    <n v="157538.28"/>
    <s v="Cash"/>
  </r>
  <r>
    <s v="ORD-0487"/>
    <s v="2025-04-04"/>
    <s v="Customer 091"/>
    <s v="Standing Desk"/>
    <s v="Furniture"/>
    <x v="4"/>
    <n v="3"/>
    <n v="210000"/>
    <n v="0.2"/>
    <n v="504000"/>
    <n v="142310.1"/>
    <s v="Cash"/>
  </r>
  <r>
    <s v="ORD-0488"/>
    <s v="2025-06-19"/>
    <s v="Customer 119"/>
    <s v="Printer"/>
    <s v="Technology"/>
    <x v="1"/>
    <n v="3"/>
    <n v="180000"/>
    <n v="0.05"/>
    <n v="513000"/>
    <n v="130623.79"/>
    <s v="Mobile Money"/>
  </r>
  <r>
    <s v="ORD-0489"/>
    <s v="2025-11-21"/>
    <s v="Customer 019"/>
    <s v="Laptop Pro 14"/>
    <s v="Technology"/>
    <x v="2"/>
    <n v="5"/>
    <n v="650000"/>
    <n v="0.15"/>
    <n v="2762500"/>
    <n v="146375.89000000001"/>
    <s v="Bank Transfer"/>
  </r>
  <r>
    <s v="ORD-0490"/>
    <s v="2025-03-03"/>
    <s v="Customer 014"/>
    <s v="Standing Desk"/>
    <s v="Furniture"/>
    <x v="4"/>
    <n v="4"/>
    <n v="210000"/>
    <n v="0.15"/>
    <n v="714000"/>
    <n v="184332.92"/>
    <s v="Bank Transfer"/>
  </r>
  <r>
    <s v="ORD-0491"/>
    <s v="2025-06-25"/>
    <s v="Customer 118"/>
    <s v="Office Chair"/>
    <s v="Furniture"/>
    <x v="4"/>
    <n v="4"/>
    <n v="120000"/>
    <n v="0.15"/>
    <n v="408000"/>
    <n v="28287.27"/>
    <s v="Cash"/>
  </r>
  <r>
    <s v="ORD-0492"/>
    <s v="2025-02-11"/>
    <s v="Customer 046"/>
    <s v="Wireless Headphones"/>
    <s v="Technology"/>
    <x v="3"/>
    <n v="4"/>
    <n v="85000"/>
    <n v="0.05"/>
    <n v="323000"/>
    <n v="78071.19"/>
    <s v="Card"/>
  </r>
  <r>
    <s v="ORD-0493"/>
    <s v="2025-08-20"/>
    <s v="Customer 044"/>
    <s v="Laptop Pro 14"/>
    <s v="Technology"/>
    <x v="0"/>
    <n v="3"/>
    <n v="650000"/>
    <n v="0"/>
    <n v="1950000"/>
    <n v="476731.74"/>
    <s v="Bank Transfer"/>
  </r>
  <r>
    <s v="ORD-0494"/>
    <s v="2025-02-15"/>
    <s v="Customer 110"/>
    <s v="Backpack"/>
    <s v="Office Supplies"/>
    <x v="2"/>
    <n v="2"/>
    <n v="45000"/>
    <n v="0.15"/>
    <n v="76500"/>
    <n v="16460.810000000001"/>
    <s v="Mobile Money"/>
  </r>
  <r>
    <s v="ORD-0495"/>
    <s v="2025-07-16"/>
    <s v="Customer 096"/>
    <s v="Backpack"/>
    <s v="Office Supplies"/>
    <x v="1"/>
    <n v="1"/>
    <n v="45000"/>
    <n v="0"/>
    <n v="45000"/>
    <n v="13764.54"/>
    <s v="Cash"/>
  </r>
  <r>
    <s v="ORD-0496"/>
    <s v="2025-04-08"/>
    <s v="Customer 064"/>
    <s v="Standing Desk"/>
    <s v="Furniture"/>
    <x v="4"/>
    <n v="1"/>
    <n v="210000"/>
    <n v="0.2"/>
    <n v="168000"/>
    <n v="52266.18"/>
    <s v="Cash"/>
  </r>
  <r>
    <s v="ORD-0497"/>
    <s v="2025-03-08"/>
    <s v="Customer 079"/>
    <s v="Desk Lamp"/>
    <s v="Furniture"/>
    <x v="4"/>
    <n v="1"/>
    <n v="35000"/>
    <n v="0.1"/>
    <n v="31500"/>
    <n v="7493.47"/>
    <s v="Card"/>
  </r>
  <r>
    <s v="ORD-0498"/>
    <s v="2025-06-02"/>
    <s v="Customer 135"/>
    <s v="Laptop Pro 14"/>
    <s v="Technology"/>
    <x v="3"/>
    <n v="3"/>
    <n v="650000"/>
    <n v="0.1"/>
    <n v="1755000"/>
    <n v="299296.5"/>
    <s v="Mobile Money"/>
  </r>
  <r>
    <s v="ORD-0499"/>
    <s v="2025-06-25"/>
    <s v="Customer 043"/>
    <s v="Wireless Headphones"/>
    <s v="Technology"/>
    <x v="2"/>
    <n v="4"/>
    <n v="85000"/>
    <n v="0.05"/>
    <n v="323000"/>
    <n v="67139.39"/>
    <s v="Card"/>
  </r>
  <r>
    <s v="ORD-0500"/>
    <s v="2025-04-25"/>
    <s v="Customer 130"/>
    <s v="Office Chair"/>
    <s v="Furniture"/>
    <x v="4"/>
    <n v="2"/>
    <n v="120000"/>
    <n v="0"/>
    <n v="240000"/>
    <n v="60431.839999999997"/>
    <s v="C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37A63B-3A8D-409C-9219-FB68D614EFA1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6">
        <item x="4"/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5"/>
  </rowFields>
  <rowItems count="6">
    <i>
      <x/>
    </i>
    <i>
      <x v="3"/>
    </i>
    <i>
      <x v="4"/>
    </i>
    <i>
      <x v="2"/>
    </i>
    <i>
      <x v="1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58E912-4FA5-490A-B6C6-C8CF3CF8A9FE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16" firstHeaderRow="0" firstDataRow="1" firstDataCol="1"/>
  <pivotFields count="13">
    <pivotField compact="0" outline="0" showAll="0"/>
    <pivotField compact="0" outline="0" showAll="0">
      <items count="278">
        <item x="244"/>
        <item x="203"/>
        <item x="137"/>
        <item x="111"/>
        <item x="261"/>
        <item x="250"/>
        <item x="18"/>
        <item x="260"/>
        <item x="0"/>
        <item x="223"/>
        <item x="98"/>
        <item x="119"/>
        <item x="270"/>
        <item x="104"/>
        <item x="196"/>
        <item x="185"/>
        <item x="74"/>
        <item x="125"/>
        <item x="6"/>
        <item x="13"/>
        <item x="33"/>
        <item x="41"/>
        <item x="265"/>
        <item x="176"/>
        <item x="202"/>
        <item x="130"/>
        <item x="129"/>
        <item x="49"/>
        <item x="23"/>
        <item x="36"/>
        <item x="43"/>
        <item x="139"/>
        <item x="5"/>
        <item x="34"/>
        <item x="219"/>
        <item x="172"/>
        <item x="96"/>
        <item x="93"/>
        <item x="218"/>
        <item x="4"/>
        <item x="194"/>
        <item x="149"/>
        <item x="141"/>
        <item x="27"/>
        <item x="122"/>
        <item x="201"/>
        <item x="238"/>
        <item x="50"/>
        <item x="275"/>
        <item x="181"/>
        <item x="245"/>
        <item x="70"/>
        <item x="44"/>
        <item x="42"/>
        <item x="115"/>
        <item x="204"/>
        <item x="163"/>
        <item x="220"/>
        <item x="167"/>
        <item x="106"/>
        <item x="59"/>
        <item x="87"/>
        <item x="146"/>
        <item x="118"/>
        <item x="108"/>
        <item x="47"/>
        <item x="95"/>
        <item x="46"/>
        <item x="71"/>
        <item x="225"/>
        <item x="189"/>
        <item x="123"/>
        <item x="75"/>
        <item x="132"/>
        <item x="77"/>
        <item x="197"/>
        <item x="212"/>
        <item x="153"/>
        <item x="84"/>
        <item x="233"/>
        <item x="2"/>
        <item x="157"/>
        <item x="192"/>
        <item x="35"/>
        <item x="242"/>
        <item x="188"/>
        <item x="37"/>
        <item x="128"/>
        <item x="207"/>
        <item x="67"/>
        <item x="158"/>
        <item x="112"/>
        <item x="221"/>
        <item x="155"/>
        <item x="24"/>
        <item x="213"/>
        <item x="209"/>
        <item x="178"/>
        <item x="22"/>
        <item x="228"/>
        <item x="252"/>
        <item x="144"/>
        <item x="214"/>
        <item x="240"/>
        <item x="31"/>
        <item x="15"/>
        <item x="222"/>
        <item x="82"/>
        <item x="135"/>
        <item x="64"/>
        <item x="246"/>
        <item x="28"/>
        <item x="40"/>
        <item x="38"/>
        <item x="159"/>
        <item x="91"/>
        <item x="160"/>
        <item x="80"/>
        <item x="32"/>
        <item x="266"/>
        <item x="39"/>
        <item x="109"/>
        <item x="271"/>
        <item x="234"/>
        <item x="267"/>
        <item x="54"/>
        <item x="229"/>
        <item x="170"/>
        <item x="190"/>
        <item x="195"/>
        <item x="199"/>
        <item x="134"/>
        <item x="69"/>
        <item x="121"/>
        <item x="259"/>
        <item x="198"/>
        <item x="142"/>
        <item x="3"/>
        <item x="263"/>
        <item x="175"/>
        <item x="177"/>
        <item x="273"/>
        <item x="48"/>
        <item x="66"/>
        <item x="255"/>
        <item x="110"/>
        <item x="114"/>
        <item x="116"/>
        <item x="169"/>
        <item x="251"/>
        <item x="17"/>
        <item x="208"/>
        <item x="262"/>
        <item x="14"/>
        <item x="276"/>
        <item x="165"/>
        <item x="171"/>
        <item x="65"/>
        <item x="183"/>
        <item x="11"/>
        <item x="226"/>
        <item x="180"/>
        <item x="10"/>
        <item x="140"/>
        <item x="99"/>
        <item x="151"/>
        <item x="103"/>
        <item x="224"/>
        <item x="60"/>
        <item x="55"/>
        <item x="1"/>
        <item x="166"/>
        <item x="126"/>
        <item x="12"/>
        <item x="53"/>
        <item x="51"/>
        <item x="94"/>
        <item x="150"/>
        <item x="156"/>
        <item x="57"/>
        <item x="227"/>
        <item x="63"/>
        <item x="254"/>
        <item x="7"/>
        <item x="101"/>
        <item x="237"/>
        <item x="97"/>
        <item x="76"/>
        <item x="26"/>
        <item x="162"/>
        <item x="258"/>
        <item x="25"/>
        <item x="124"/>
        <item x="86"/>
        <item x="257"/>
        <item x="30"/>
        <item x="179"/>
        <item x="136"/>
        <item x="79"/>
        <item x="253"/>
        <item x="173"/>
        <item x="248"/>
        <item x="100"/>
        <item x="16"/>
        <item x="217"/>
        <item x="184"/>
        <item x="147"/>
        <item x="152"/>
        <item x="143"/>
        <item x="58"/>
        <item x="247"/>
        <item x="105"/>
        <item x="133"/>
        <item x="216"/>
        <item x="243"/>
        <item x="210"/>
        <item x="21"/>
        <item x="268"/>
        <item x="102"/>
        <item x="239"/>
        <item x="56"/>
        <item x="256"/>
        <item x="81"/>
        <item x="61"/>
        <item x="138"/>
        <item x="145"/>
        <item x="236"/>
        <item x="19"/>
        <item x="148"/>
        <item x="85"/>
        <item x="174"/>
        <item x="52"/>
        <item x="72"/>
        <item x="187"/>
        <item x="193"/>
        <item x="89"/>
        <item x="73"/>
        <item x="264"/>
        <item x="88"/>
        <item x="206"/>
        <item x="272"/>
        <item x="186"/>
        <item x="127"/>
        <item x="107"/>
        <item x="62"/>
        <item x="205"/>
        <item x="182"/>
        <item x="154"/>
        <item x="90"/>
        <item x="113"/>
        <item x="231"/>
        <item x="274"/>
        <item x="8"/>
        <item x="9"/>
        <item x="68"/>
        <item x="168"/>
        <item x="117"/>
        <item x="29"/>
        <item x="164"/>
        <item x="131"/>
        <item x="20"/>
        <item x="92"/>
        <item x="120"/>
        <item x="161"/>
        <item x="45"/>
        <item x="215"/>
        <item x="211"/>
        <item x="191"/>
        <item x="200"/>
        <item x="249"/>
        <item x="235"/>
        <item x="269"/>
        <item x="241"/>
        <item x="83"/>
        <item x="78"/>
        <item x="232"/>
        <item x="230"/>
        <item t="default"/>
      </items>
    </pivotField>
    <pivotField compact="0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  <pivotField compact="0" outline="0" showAll="0">
      <items count="6">
        <item x="4"/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axis="axisRow" compact="0" outline="0" showAll="0">
      <items count="13">
        <item x="0"/>
        <item x="4"/>
        <item x="11"/>
        <item x="2"/>
        <item x="7"/>
        <item x="3"/>
        <item x="6"/>
        <item x="1"/>
        <item x="8"/>
        <item x="9"/>
        <item x="5"/>
        <item x="10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0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F89EB3-E795-4C98-BCB6-18362FB4FDC9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B9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>
      <items count="12">
        <item x="6"/>
        <item x="4"/>
        <item x="9"/>
        <item x="5"/>
        <item x="8"/>
        <item x="3"/>
        <item x="0"/>
        <item x="2"/>
        <item x="1"/>
        <item x="7"/>
        <item x="10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axis="axisRow" compact="0" outline="0" showAll="0" sortType="descending">
      <items count="6">
        <item x="4"/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5"/>
  </rowFields>
  <rowItems count="6">
    <i>
      <x v="3"/>
    </i>
    <i>
      <x/>
    </i>
    <i>
      <x v="4"/>
    </i>
    <i>
      <x v="1"/>
    </i>
    <i>
      <x v="2"/>
    </i>
    <i t="grand">
      <x/>
    </i>
  </rowItems>
  <colItems count="1">
    <i/>
  </colItems>
  <dataFields count="1">
    <dataField name="Sum of Profit" fld="10" baseField="0" baseItem="0"/>
  </dataField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BF69135A-FCC6-4656-89D5-4130E059A000}" sourceName="Category">
  <pivotTables>
    <pivotTable tabId="3" name="PivotTable1"/>
  </pivotTables>
  <data>
    <tabular pivotCacheId="364722542">
      <items count="3">
        <i x="1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58264357-418D-4B17-BE89-5B9084615D95}" sourceName="Region">
  <pivotTables>
    <pivotTable tabId="3" name="PivotTable1"/>
  </pivotTables>
  <data>
    <tabular pivotCacheId="364722542">
      <items count="5">
        <i x="4" s="1"/>
        <i x="3" s="1"/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F7BD283E-AA2A-4818-905E-ABED009FF83C}" cache="Slicer_Category" caption="Category" rowHeight="228600"/>
  <slicer name="Region" xr10:uid="{1651ED48-F7D3-4467-BAB4-2B9DD728B128}" cache="Slicer_Region" caption="Region" rowHeight="22860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A3B26-A116-4A8E-A2E7-7C7F65134992}">
  <dimension ref="A3:B9"/>
  <sheetViews>
    <sheetView workbookViewId="0">
      <selection activeCell="B4" sqref="B4"/>
    </sheetView>
  </sheetViews>
  <sheetFormatPr defaultRowHeight="15"/>
  <cols>
    <col min="1" max="1" width="11.7109375" bestFit="1" customWidth="1"/>
    <col min="2" max="2" width="12.42578125" bestFit="1" customWidth="1"/>
  </cols>
  <sheetData>
    <row r="3" spans="1:2">
      <c r="A3" s="2" t="s">
        <v>0</v>
      </c>
      <c r="B3" t="s">
        <v>1</v>
      </c>
    </row>
    <row r="4" spans="1:2">
      <c r="A4" t="s">
        <v>2</v>
      </c>
      <c r="B4" s="3">
        <v>60974400</v>
      </c>
    </row>
    <row r="5" spans="1:2">
      <c r="A5" t="s">
        <v>3</v>
      </c>
      <c r="B5" s="3">
        <v>58842350</v>
      </c>
    </row>
    <row r="6" spans="1:2">
      <c r="A6" t="s">
        <v>4</v>
      </c>
      <c r="B6" s="3">
        <v>51928250</v>
      </c>
    </row>
    <row r="7" spans="1:2">
      <c r="A7" t="s">
        <v>5</v>
      </c>
      <c r="B7" s="3">
        <v>45269900</v>
      </c>
    </row>
    <row r="8" spans="1:2">
      <c r="A8" t="s">
        <v>6</v>
      </c>
      <c r="B8" s="3">
        <v>41816400</v>
      </c>
    </row>
    <row r="9" spans="1:2">
      <c r="A9" t="s">
        <v>7</v>
      </c>
      <c r="B9" s="3">
        <v>258831300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499DD-35AC-48E5-B32E-67314DCC9FC7}">
  <dimension ref="A3:C16"/>
  <sheetViews>
    <sheetView workbookViewId="0">
      <selection activeCell="A5" sqref="A5"/>
    </sheetView>
  </sheetViews>
  <sheetFormatPr defaultRowHeight="15"/>
  <cols>
    <col min="1" max="1" width="11.7109375" bestFit="1" customWidth="1"/>
    <col min="2" max="2" width="12.42578125" bestFit="1" customWidth="1"/>
    <col min="3" max="3" width="12.85546875" bestFit="1" customWidth="1"/>
  </cols>
  <sheetData>
    <row r="3" spans="1:3">
      <c r="A3" s="2" t="s">
        <v>8</v>
      </c>
      <c r="B3" t="s">
        <v>1</v>
      </c>
      <c r="C3" t="s">
        <v>9</v>
      </c>
    </row>
    <row r="4" spans="1:3">
      <c r="A4" t="s">
        <v>10</v>
      </c>
      <c r="B4" s="3">
        <v>29814250</v>
      </c>
      <c r="C4" s="3">
        <v>6855061.0099999988</v>
      </c>
    </row>
    <row r="5" spans="1:3">
      <c r="A5" t="s">
        <v>11</v>
      </c>
      <c r="B5" s="3">
        <v>19165800</v>
      </c>
      <c r="C5" s="3">
        <v>4459884.709999999</v>
      </c>
    </row>
    <row r="6" spans="1:3">
      <c r="A6" t="s">
        <v>12</v>
      </c>
      <c r="B6" s="3">
        <v>21543850</v>
      </c>
      <c r="C6" s="3">
        <v>5750273.96</v>
      </c>
    </row>
    <row r="7" spans="1:3">
      <c r="A7" t="s">
        <v>13</v>
      </c>
      <c r="B7" s="3">
        <v>20956600</v>
      </c>
      <c r="C7" s="3">
        <v>5369047.7799999993</v>
      </c>
    </row>
    <row r="8" spans="1:3">
      <c r="A8" t="s">
        <v>14</v>
      </c>
      <c r="B8" s="3">
        <v>21963050</v>
      </c>
      <c r="C8" s="3">
        <v>5033045.6499999985</v>
      </c>
    </row>
    <row r="9" spans="1:3">
      <c r="A9" t="s">
        <v>15</v>
      </c>
      <c r="B9" s="3">
        <v>23875300</v>
      </c>
      <c r="C9" s="3">
        <v>5844967.8099999996</v>
      </c>
    </row>
    <row r="10" spans="1:3">
      <c r="A10" t="s">
        <v>16</v>
      </c>
      <c r="B10" s="3">
        <v>16962200</v>
      </c>
      <c r="C10" s="3">
        <v>3476815.04</v>
      </c>
    </row>
    <row r="11" spans="1:3">
      <c r="A11" t="s">
        <v>17</v>
      </c>
      <c r="B11" s="3">
        <v>24583200</v>
      </c>
      <c r="C11" s="3">
        <v>5974029.4700000007</v>
      </c>
    </row>
    <row r="12" spans="1:3">
      <c r="A12" t="s">
        <v>18</v>
      </c>
      <c r="B12" s="3">
        <v>18450400</v>
      </c>
      <c r="C12" s="3">
        <v>5933124.6899999995</v>
      </c>
    </row>
    <row r="13" spans="1:3">
      <c r="A13" t="s">
        <v>19</v>
      </c>
      <c r="B13" s="3">
        <v>23714050</v>
      </c>
      <c r="C13" s="3">
        <v>7147823.2999999989</v>
      </c>
    </row>
    <row r="14" spans="1:3">
      <c r="A14" t="s">
        <v>20</v>
      </c>
      <c r="B14" s="3">
        <v>19800950</v>
      </c>
      <c r="C14" s="3">
        <v>3844793.580000001</v>
      </c>
    </row>
    <row r="15" spans="1:3">
      <c r="A15" t="s">
        <v>21</v>
      </c>
      <c r="B15" s="3">
        <v>18001650</v>
      </c>
      <c r="C15" s="3">
        <v>3915501.4499999988</v>
      </c>
    </row>
    <row r="16" spans="1:3">
      <c r="A16" t="s">
        <v>7</v>
      </c>
      <c r="B16" s="3">
        <v>258831300</v>
      </c>
      <c r="C16" s="3">
        <v>63604368.449999988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437F9-6425-47A9-A019-0812A0784AD0}">
  <dimension ref="A3:B9"/>
  <sheetViews>
    <sheetView workbookViewId="0">
      <selection activeCell="K6" sqref="K6"/>
    </sheetView>
  </sheetViews>
  <sheetFormatPr defaultRowHeight="15"/>
  <cols>
    <col min="1" max="1" width="11.7109375" bestFit="1" customWidth="1"/>
    <col min="2" max="3" width="12.85546875" bestFit="1" customWidth="1"/>
  </cols>
  <sheetData>
    <row r="3" spans="1:2">
      <c r="A3" s="2" t="s">
        <v>0</v>
      </c>
      <c r="B3" t="s">
        <v>9</v>
      </c>
    </row>
    <row r="4" spans="1:2">
      <c r="A4" t="s">
        <v>3</v>
      </c>
      <c r="B4" s="3">
        <v>14214598.670000006</v>
      </c>
    </row>
    <row r="5" spans="1:2">
      <c r="A5" t="s">
        <v>2</v>
      </c>
      <c r="B5" s="3">
        <v>13826197.389999995</v>
      </c>
    </row>
    <row r="6" spans="1:2">
      <c r="A6" t="s">
        <v>4</v>
      </c>
      <c r="B6" s="3">
        <v>12951718.030000003</v>
      </c>
    </row>
    <row r="7" spans="1:2">
      <c r="A7" t="s">
        <v>6</v>
      </c>
      <c r="B7" s="3">
        <v>11532937.709999997</v>
      </c>
    </row>
    <row r="8" spans="1:2">
      <c r="A8" t="s">
        <v>5</v>
      </c>
      <c r="B8" s="3">
        <v>11078916.649999999</v>
      </c>
    </row>
    <row r="9" spans="1:2">
      <c r="A9" t="s">
        <v>7</v>
      </c>
      <c r="B9" s="3">
        <v>63604368.450000003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40848-0260-4A7B-A96B-57F25DDE0577}">
  <dimension ref="A1:H44"/>
  <sheetViews>
    <sheetView tabSelected="1" workbookViewId="0">
      <selection activeCell="A4" sqref="A4"/>
    </sheetView>
  </sheetViews>
  <sheetFormatPr defaultRowHeight="15"/>
  <cols>
    <col min="1" max="1" width="65.85546875" customWidth="1"/>
    <col min="3" max="3" width="22.5703125" bestFit="1" customWidth="1"/>
    <col min="5" max="5" width="11.140625" customWidth="1"/>
    <col min="7" max="7" width="13.140625" customWidth="1"/>
  </cols>
  <sheetData>
    <row r="1" spans="1:8" s="6" customFormat="1" ht="26.25">
      <c r="A1" s="17" t="s">
        <v>22</v>
      </c>
      <c r="B1" s="17"/>
      <c r="C1" s="17"/>
      <c r="D1" s="17"/>
      <c r="E1" s="17"/>
      <c r="F1" s="17"/>
      <c r="G1" s="17"/>
      <c r="H1" s="17"/>
    </row>
    <row r="2" spans="1:8" s="5" customFormat="1"/>
    <row r="3" spans="1:8" s="7" customFormat="1" ht="16.5" customHeight="1">
      <c r="A3" s="8" t="s">
        <v>23</v>
      </c>
      <c r="B3" s="11"/>
      <c r="C3" s="9" t="s">
        <v>24</v>
      </c>
      <c r="D3" s="11"/>
      <c r="E3" s="9" t="s">
        <v>25</v>
      </c>
      <c r="F3" s="11"/>
      <c r="G3" s="9" t="s">
        <v>26</v>
      </c>
      <c r="H3" s="9"/>
    </row>
    <row r="4" spans="1:8" ht="21">
      <c r="A4" s="14">
        <f>SUM(Sheet1!J2:J501)</f>
        <v>258831300</v>
      </c>
      <c r="B4" s="12"/>
      <c r="C4" s="14">
        <f>SUM(Sheet1!K2:K501)</f>
        <v>63604368.450000033</v>
      </c>
      <c r="D4" s="12"/>
      <c r="E4" s="10">
        <f>COUNTA(Sheet1!A2:A501)</f>
        <v>500</v>
      </c>
      <c r="F4" s="12"/>
      <c r="G4" s="10">
        <f>SUM(Sheet1!G2:G501)</f>
        <v>1501</v>
      </c>
      <c r="H4" s="13"/>
    </row>
    <row r="40" spans="1:1" s="5" customFormat="1" ht="21">
      <c r="A40" s="15" t="s">
        <v>27</v>
      </c>
    </row>
    <row r="41" spans="1:1" ht="18.75">
      <c r="A41" s="16" t="s">
        <v>28</v>
      </c>
    </row>
    <row r="42" spans="1:1" ht="18.75">
      <c r="A42" s="16" t="s">
        <v>29</v>
      </c>
    </row>
    <row r="43" spans="1:1" ht="18.75">
      <c r="A43" s="16" t="s">
        <v>30</v>
      </c>
    </row>
    <row r="44" spans="1:1" ht="18.75">
      <c r="A44" s="16" t="s">
        <v>31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08A1B-997A-4734-A116-AC0B74720EEF}">
  <dimension ref="A1"/>
  <sheetViews>
    <sheetView workbookViewId="0">
      <selection activeCell="B6" sqref="B6"/>
    </sheetView>
  </sheetViews>
  <sheetFormatPr defaultRowHeight="15"/>
  <cols>
    <col min="1" max="1" width="14.140625" bestFit="1" customWidth="1"/>
    <col min="2" max="2" width="12.42578125" bestFit="1" customWidth="1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3"/>
  <sheetViews>
    <sheetView workbookViewId="0">
      <selection activeCell="A3" sqref="A3"/>
    </sheetView>
  </sheetViews>
  <sheetFormatPr defaultRowHeight="15"/>
  <cols>
    <col min="1" max="1" width="12" customWidth="1"/>
    <col min="2" max="2" width="14.140625" customWidth="1"/>
    <col min="3" max="3" width="17.5703125" customWidth="1"/>
    <col min="4" max="4" width="21.5703125" customWidth="1"/>
    <col min="5" max="5" width="14.85546875" customWidth="1"/>
    <col min="6" max="6" width="11.85546875" customWidth="1"/>
    <col min="11" max="11" width="13.42578125" customWidth="1"/>
    <col min="12" max="12" width="18.28515625" customWidth="1"/>
  </cols>
  <sheetData>
    <row r="1" spans="1:1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0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4" t="s">
        <v>8</v>
      </c>
    </row>
    <row r="2" spans="1:13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3</v>
      </c>
      <c r="G2">
        <v>3</v>
      </c>
      <c r="H2">
        <v>420000</v>
      </c>
      <c r="I2">
        <v>0</v>
      </c>
      <c r="J2">
        <v>1260000</v>
      </c>
      <c r="K2">
        <v>491063.71</v>
      </c>
      <c r="L2" t="s">
        <v>48</v>
      </c>
      <c r="M2" t="str">
        <f>TEXT(B2,"mmm")</f>
        <v>Jan</v>
      </c>
    </row>
    <row r="3" spans="1:13">
      <c r="A3" t="s">
        <v>49</v>
      </c>
      <c r="B3" t="s">
        <v>50</v>
      </c>
      <c r="C3" t="s">
        <v>51</v>
      </c>
      <c r="D3" t="s">
        <v>52</v>
      </c>
      <c r="E3" t="s">
        <v>47</v>
      </c>
      <c r="F3" t="s">
        <v>3</v>
      </c>
      <c r="G3">
        <v>1</v>
      </c>
      <c r="H3">
        <v>55000</v>
      </c>
      <c r="I3">
        <v>0</v>
      </c>
      <c r="J3">
        <v>55000</v>
      </c>
      <c r="K3">
        <v>23358.63</v>
      </c>
      <c r="L3" t="s">
        <v>48</v>
      </c>
      <c r="M3" t="str">
        <f t="shared" ref="M3:M66" si="0">TEXT(B3,"mmm")</f>
        <v>Aug</v>
      </c>
    </row>
    <row r="4" spans="1:13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</v>
      </c>
      <c r="G4">
        <v>5</v>
      </c>
      <c r="H4">
        <v>210000</v>
      </c>
      <c r="I4">
        <v>0.1</v>
      </c>
      <c r="J4">
        <v>945000</v>
      </c>
      <c r="K4">
        <v>305005.08</v>
      </c>
      <c r="L4" t="s">
        <v>58</v>
      </c>
      <c r="M4" t="str">
        <f t="shared" si="0"/>
        <v>Apr</v>
      </c>
    </row>
    <row r="5" spans="1:13">
      <c r="A5" t="s">
        <v>59</v>
      </c>
      <c r="B5" t="s">
        <v>60</v>
      </c>
      <c r="C5" t="s">
        <v>61</v>
      </c>
      <c r="D5" t="s">
        <v>62</v>
      </c>
      <c r="E5" t="s">
        <v>47</v>
      </c>
      <c r="F5" t="s">
        <v>5</v>
      </c>
      <c r="G5">
        <v>3</v>
      </c>
      <c r="H5">
        <v>180000</v>
      </c>
      <c r="I5">
        <v>0</v>
      </c>
      <c r="J5">
        <v>540000</v>
      </c>
      <c r="K5">
        <v>211607.25</v>
      </c>
      <c r="L5" t="s">
        <v>48</v>
      </c>
      <c r="M5" t="str">
        <f t="shared" si="0"/>
        <v>Jun</v>
      </c>
    </row>
    <row r="6" spans="1:13">
      <c r="A6" t="s">
        <v>63</v>
      </c>
      <c r="B6" t="s">
        <v>64</v>
      </c>
      <c r="C6" t="s">
        <v>65</v>
      </c>
      <c r="D6" t="s">
        <v>62</v>
      </c>
      <c r="E6" t="s">
        <v>47</v>
      </c>
      <c r="F6" t="s">
        <v>4</v>
      </c>
      <c r="G6">
        <v>3</v>
      </c>
      <c r="H6">
        <v>180000</v>
      </c>
      <c r="I6">
        <v>0.05</v>
      </c>
      <c r="J6">
        <v>513000</v>
      </c>
      <c r="K6">
        <v>127976.74</v>
      </c>
      <c r="L6" t="s">
        <v>48</v>
      </c>
      <c r="M6" t="str">
        <f t="shared" si="0"/>
        <v>Feb</v>
      </c>
    </row>
    <row r="7" spans="1:13">
      <c r="A7" t="s">
        <v>66</v>
      </c>
      <c r="B7" t="s">
        <v>67</v>
      </c>
      <c r="C7" t="s">
        <v>68</v>
      </c>
      <c r="D7" t="s">
        <v>62</v>
      </c>
      <c r="E7" t="s">
        <v>47</v>
      </c>
      <c r="F7" t="s">
        <v>3</v>
      </c>
      <c r="G7">
        <v>5</v>
      </c>
      <c r="H7">
        <v>180000</v>
      </c>
      <c r="I7">
        <v>0.05</v>
      </c>
      <c r="J7">
        <v>855000</v>
      </c>
      <c r="K7">
        <v>158454.67000000001</v>
      </c>
      <c r="L7" t="s">
        <v>58</v>
      </c>
      <c r="M7" t="str">
        <f t="shared" si="0"/>
        <v>Feb</v>
      </c>
    </row>
    <row r="8" spans="1:13">
      <c r="A8" t="s">
        <v>69</v>
      </c>
      <c r="B8" t="s">
        <v>70</v>
      </c>
      <c r="C8" t="s">
        <v>51</v>
      </c>
      <c r="D8" t="s">
        <v>46</v>
      </c>
      <c r="E8" t="s">
        <v>47</v>
      </c>
      <c r="F8" t="s">
        <v>5</v>
      </c>
      <c r="G8">
        <v>2</v>
      </c>
      <c r="H8">
        <v>420000</v>
      </c>
      <c r="I8">
        <v>0.05</v>
      </c>
      <c r="J8">
        <v>798000</v>
      </c>
      <c r="K8">
        <v>112551.76</v>
      </c>
      <c r="L8" t="s">
        <v>71</v>
      </c>
      <c r="M8" t="str">
        <f t="shared" si="0"/>
        <v>Jan</v>
      </c>
    </row>
    <row r="9" spans="1:13">
      <c r="A9" t="s">
        <v>72</v>
      </c>
      <c r="B9" t="s">
        <v>73</v>
      </c>
      <c r="C9" t="s">
        <v>74</v>
      </c>
      <c r="D9" t="s">
        <v>75</v>
      </c>
      <c r="E9" t="s">
        <v>57</v>
      </c>
      <c r="F9" t="s">
        <v>6</v>
      </c>
      <c r="G9">
        <v>3</v>
      </c>
      <c r="H9">
        <v>35000</v>
      </c>
      <c r="I9">
        <v>0</v>
      </c>
      <c r="J9">
        <v>105000</v>
      </c>
      <c r="K9">
        <v>36755.370000000003</v>
      </c>
      <c r="L9" t="s">
        <v>48</v>
      </c>
      <c r="M9" t="str">
        <f t="shared" si="0"/>
        <v>Aug</v>
      </c>
    </row>
    <row r="10" spans="1:13">
      <c r="A10" t="s">
        <v>76</v>
      </c>
      <c r="B10" t="s">
        <v>77</v>
      </c>
      <c r="C10" t="s">
        <v>78</v>
      </c>
      <c r="D10" t="s">
        <v>52</v>
      </c>
      <c r="E10" t="s">
        <v>47</v>
      </c>
      <c r="F10" t="s">
        <v>4</v>
      </c>
      <c r="G10">
        <v>2</v>
      </c>
      <c r="H10">
        <v>55000</v>
      </c>
      <c r="I10">
        <v>0.15</v>
      </c>
      <c r="J10">
        <v>93500</v>
      </c>
      <c r="K10">
        <v>11344.93</v>
      </c>
      <c r="L10" t="s">
        <v>71</v>
      </c>
      <c r="M10" t="str">
        <f t="shared" si="0"/>
        <v>Nov</v>
      </c>
    </row>
    <row r="11" spans="1:13">
      <c r="A11" t="s">
        <v>79</v>
      </c>
      <c r="B11" t="s">
        <v>80</v>
      </c>
      <c r="C11" t="s">
        <v>81</v>
      </c>
      <c r="D11" t="s">
        <v>75</v>
      </c>
      <c r="E11" t="s">
        <v>57</v>
      </c>
      <c r="F11" t="s">
        <v>2</v>
      </c>
      <c r="G11">
        <v>5</v>
      </c>
      <c r="H11">
        <v>35000</v>
      </c>
      <c r="I11">
        <v>0</v>
      </c>
      <c r="J11">
        <v>175000</v>
      </c>
      <c r="K11">
        <v>46401.98</v>
      </c>
      <c r="L11" t="s">
        <v>48</v>
      </c>
      <c r="M11" t="str">
        <f t="shared" si="0"/>
        <v>Nov</v>
      </c>
    </row>
    <row r="12" spans="1:13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 t="s">
        <v>6</v>
      </c>
      <c r="G12">
        <v>3</v>
      </c>
      <c r="H12">
        <v>12000</v>
      </c>
      <c r="I12">
        <v>0</v>
      </c>
      <c r="J12">
        <v>36000</v>
      </c>
      <c r="K12">
        <v>14149.25</v>
      </c>
      <c r="L12" t="s">
        <v>58</v>
      </c>
      <c r="M12" t="str">
        <f t="shared" si="0"/>
        <v>Jul</v>
      </c>
    </row>
    <row r="13" spans="1:13">
      <c r="A13" t="s">
        <v>87</v>
      </c>
      <c r="B13" t="s">
        <v>88</v>
      </c>
      <c r="C13" t="s">
        <v>89</v>
      </c>
      <c r="D13" t="s">
        <v>90</v>
      </c>
      <c r="E13" t="s">
        <v>86</v>
      </c>
      <c r="F13" t="s">
        <v>3</v>
      </c>
      <c r="G13">
        <v>4</v>
      </c>
      <c r="H13">
        <v>45000</v>
      </c>
      <c r="I13">
        <v>0</v>
      </c>
      <c r="J13">
        <v>180000</v>
      </c>
      <c r="K13">
        <v>68126.820000000007</v>
      </c>
      <c r="L13" t="s">
        <v>91</v>
      </c>
      <c r="M13" t="str">
        <f t="shared" si="0"/>
        <v>Jul</v>
      </c>
    </row>
    <row r="14" spans="1:13">
      <c r="A14" t="s">
        <v>92</v>
      </c>
      <c r="B14" t="s">
        <v>93</v>
      </c>
      <c r="C14" t="s">
        <v>94</v>
      </c>
      <c r="D14" t="s">
        <v>52</v>
      </c>
      <c r="E14" t="s">
        <v>47</v>
      </c>
      <c r="F14" t="s">
        <v>3</v>
      </c>
      <c r="G14">
        <v>5</v>
      </c>
      <c r="H14">
        <v>55000</v>
      </c>
      <c r="I14">
        <v>0.1</v>
      </c>
      <c r="J14">
        <v>247500</v>
      </c>
      <c r="K14">
        <v>69371.759999999995</v>
      </c>
      <c r="L14" t="s">
        <v>71</v>
      </c>
      <c r="M14" t="str">
        <f t="shared" si="0"/>
        <v>Aug</v>
      </c>
    </row>
    <row r="15" spans="1:13">
      <c r="A15" t="s">
        <v>95</v>
      </c>
      <c r="B15" t="s">
        <v>96</v>
      </c>
      <c r="C15" t="s">
        <v>97</v>
      </c>
      <c r="D15" t="s">
        <v>46</v>
      </c>
      <c r="E15" t="s">
        <v>47</v>
      </c>
      <c r="F15" t="s">
        <v>3</v>
      </c>
      <c r="G15">
        <v>1</v>
      </c>
      <c r="H15">
        <v>420000</v>
      </c>
      <c r="I15">
        <v>0</v>
      </c>
      <c r="J15">
        <v>420000</v>
      </c>
      <c r="K15">
        <v>117847.62</v>
      </c>
      <c r="L15" t="s">
        <v>48</v>
      </c>
      <c r="M15" t="str">
        <f t="shared" si="0"/>
        <v>Jan</v>
      </c>
    </row>
    <row r="16" spans="1:13">
      <c r="A16" t="s">
        <v>98</v>
      </c>
      <c r="B16" t="s">
        <v>99</v>
      </c>
      <c r="C16" t="s">
        <v>100</v>
      </c>
      <c r="D16" t="s">
        <v>62</v>
      </c>
      <c r="E16" t="s">
        <v>47</v>
      </c>
      <c r="F16" t="s">
        <v>5</v>
      </c>
      <c r="G16">
        <v>5</v>
      </c>
      <c r="H16">
        <v>180000</v>
      </c>
      <c r="I16">
        <v>0.1</v>
      </c>
      <c r="J16">
        <v>810000</v>
      </c>
      <c r="K16">
        <v>186425.21</v>
      </c>
      <c r="L16" t="s">
        <v>48</v>
      </c>
      <c r="M16" t="str">
        <f t="shared" si="0"/>
        <v>Jul</v>
      </c>
    </row>
    <row r="17" spans="1:13">
      <c r="A17" t="s">
        <v>101</v>
      </c>
      <c r="B17" t="s">
        <v>102</v>
      </c>
      <c r="C17" t="s">
        <v>103</v>
      </c>
      <c r="D17" t="s">
        <v>56</v>
      </c>
      <c r="E17" t="s">
        <v>57</v>
      </c>
      <c r="F17" t="s">
        <v>4</v>
      </c>
      <c r="G17">
        <v>3</v>
      </c>
      <c r="H17">
        <v>210000</v>
      </c>
      <c r="I17">
        <v>0</v>
      </c>
      <c r="J17">
        <v>630000</v>
      </c>
      <c r="K17">
        <v>233575.63</v>
      </c>
      <c r="L17" t="s">
        <v>48</v>
      </c>
      <c r="M17" t="str">
        <f t="shared" si="0"/>
        <v>May</v>
      </c>
    </row>
    <row r="18" spans="1:13">
      <c r="A18" t="s">
        <v>104</v>
      </c>
      <c r="B18" t="s">
        <v>105</v>
      </c>
      <c r="C18" t="s">
        <v>106</v>
      </c>
      <c r="D18" t="s">
        <v>75</v>
      </c>
      <c r="E18" t="s">
        <v>57</v>
      </c>
      <c r="F18" t="s">
        <v>3</v>
      </c>
      <c r="G18">
        <v>2</v>
      </c>
      <c r="H18">
        <v>35000</v>
      </c>
      <c r="I18">
        <v>0.15</v>
      </c>
      <c r="J18">
        <v>59500</v>
      </c>
      <c r="K18">
        <v>3751.33</v>
      </c>
      <c r="L18" t="s">
        <v>58</v>
      </c>
      <c r="M18" t="str">
        <f t="shared" si="0"/>
        <v>Sep</v>
      </c>
    </row>
    <row r="19" spans="1:13">
      <c r="A19" t="s">
        <v>107</v>
      </c>
      <c r="B19" t="s">
        <v>108</v>
      </c>
      <c r="C19" t="s">
        <v>109</v>
      </c>
      <c r="D19" t="s">
        <v>110</v>
      </c>
      <c r="E19" t="s">
        <v>47</v>
      </c>
      <c r="F19" t="s">
        <v>111</v>
      </c>
      <c r="G19">
        <v>2</v>
      </c>
      <c r="H19">
        <v>85000</v>
      </c>
      <c r="I19">
        <v>0.15</v>
      </c>
      <c r="J19">
        <v>144500</v>
      </c>
      <c r="K19">
        <v>7234.36</v>
      </c>
      <c r="L19" t="s">
        <v>91</v>
      </c>
      <c r="M19" t="str">
        <f t="shared" si="0"/>
        <v>Jul</v>
      </c>
    </row>
    <row r="20" spans="1:13">
      <c r="A20" t="s">
        <v>112</v>
      </c>
      <c r="B20" t="s">
        <v>113</v>
      </c>
      <c r="C20" t="s">
        <v>114</v>
      </c>
      <c r="D20" t="s">
        <v>90</v>
      </c>
      <c r="E20" t="s">
        <v>86</v>
      </c>
      <c r="F20" t="s">
        <v>2</v>
      </c>
      <c r="G20">
        <v>1</v>
      </c>
      <c r="H20">
        <v>45000</v>
      </c>
      <c r="I20">
        <v>0.05</v>
      </c>
      <c r="J20">
        <v>42750</v>
      </c>
      <c r="K20">
        <v>7323.53</v>
      </c>
      <c r="L20" t="s">
        <v>48</v>
      </c>
      <c r="M20" t="str">
        <f t="shared" si="0"/>
        <v>Jan</v>
      </c>
    </row>
    <row r="21" spans="1:13">
      <c r="A21" t="s">
        <v>115</v>
      </c>
      <c r="B21" t="s">
        <v>116</v>
      </c>
      <c r="C21" t="s">
        <v>117</v>
      </c>
      <c r="D21" t="s">
        <v>118</v>
      </c>
      <c r="E21" t="s">
        <v>57</v>
      </c>
      <c r="F21" t="s">
        <v>3</v>
      </c>
      <c r="G21">
        <v>1</v>
      </c>
      <c r="H21">
        <v>120000</v>
      </c>
      <c r="I21">
        <v>0</v>
      </c>
      <c r="J21">
        <v>120000</v>
      </c>
      <c r="K21">
        <v>30286.19</v>
      </c>
      <c r="L21" t="s">
        <v>58</v>
      </c>
      <c r="M21" t="str">
        <f t="shared" si="0"/>
        <v>Oct</v>
      </c>
    </row>
    <row r="22" spans="1:13">
      <c r="A22" t="s">
        <v>119</v>
      </c>
      <c r="B22" t="s">
        <v>120</v>
      </c>
      <c r="C22" t="s">
        <v>109</v>
      </c>
      <c r="D22" t="s">
        <v>110</v>
      </c>
      <c r="E22" t="s">
        <v>47</v>
      </c>
      <c r="F22" t="s">
        <v>3</v>
      </c>
      <c r="G22">
        <v>4</v>
      </c>
      <c r="H22">
        <v>85000</v>
      </c>
      <c r="I22">
        <v>0.15</v>
      </c>
      <c r="J22">
        <v>289000</v>
      </c>
      <c r="K22">
        <v>86841.35</v>
      </c>
      <c r="L22" t="s">
        <v>71</v>
      </c>
      <c r="M22" t="str">
        <f t="shared" si="0"/>
        <v>Dec</v>
      </c>
    </row>
    <row r="23" spans="1:13">
      <c r="A23" t="s">
        <v>121</v>
      </c>
      <c r="B23" t="s">
        <v>122</v>
      </c>
      <c r="C23" t="s">
        <v>123</v>
      </c>
      <c r="D23" t="s">
        <v>118</v>
      </c>
      <c r="E23" t="s">
        <v>57</v>
      </c>
      <c r="F23" t="s">
        <v>4</v>
      </c>
      <c r="G23">
        <v>2</v>
      </c>
      <c r="H23">
        <v>120000</v>
      </c>
      <c r="I23">
        <v>0.2</v>
      </c>
      <c r="J23">
        <v>192000</v>
      </c>
      <c r="K23">
        <v>39800.78</v>
      </c>
      <c r="L23" t="s">
        <v>71</v>
      </c>
      <c r="M23" t="str">
        <f t="shared" si="0"/>
        <v>Oct</v>
      </c>
    </row>
    <row r="24" spans="1:13">
      <c r="A24" t="s">
        <v>124</v>
      </c>
      <c r="B24" t="s">
        <v>125</v>
      </c>
      <c r="C24" t="s">
        <v>100</v>
      </c>
      <c r="D24" t="s">
        <v>46</v>
      </c>
      <c r="E24" t="s">
        <v>47</v>
      </c>
      <c r="F24" t="s">
        <v>2</v>
      </c>
      <c r="G24">
        <v>2</v>
      </c>
      <c r="H24">
        <v>420000</v>
      </c>
      <c r="I24">
        <v>0</v>
      </c>
      <c r="J24">
        <v>840000</v>
      </c>
      <c r="K24">
        <v>301322.19</v>
      </c>
      <c r="L24" t="s">
        <v>58</v>
      </c>
      <c r="M24" t="str">
        <f t="shared" si="0"/>
        <v>May</v>
      </c>
    </row>
    <row r="25" spans="1:13">
      <c r="A25" t="s">
        <v>126</v>
      </c>
      <c r="B25" t="s">
        <v>127</v>
      </c>
      <c r="C25" t="s">
        <v>128</v>
      </c>
      <c r="D25" t="s">
        <v>129</v>
      </c>
      <c r="E25" t="s">
        <v>47</v>
      </c>
      <c r="F25" t="s">
        <v>6</v>
      </c>
      <c r="G25">
        <v>1</v>
      </c>
      <c r="H25">
        <v>650000</v>
      </c>
      <c r="I25">
        <v>0</v>
      </c>
      <c r="J25">
        <v>650000</v>
      </c>
      <c r="K25">
        <v>280671.24</v>
      </c>
      <c r="L25" t="s">
        <v>48</v>
      </c>
      <c r="M25" t="str">
        <f t="shared" si="0"/>
        <v>Feb</v>
      </c>
    </row>
    <row r="26" spans="1:13">
      <c r="A26" t="s">
        <v>130</v>
      </c>
      <c r="B26" t="s">
        <v>131</v>
      </c>
      <c r="C26" t="s">
        <v>132</v>
      </c>
      <c r="D26" t="s">
        <v>56</v>
      </c>
      <c r="E26" t="s">
        <v>57</v>
      </c>
      <c r="F26" t="s">
        <v>2</v>
      </c>
      <c r="G26">
        <v>3</v>
      </c>
      <c r="H26">
        <v>210000</v>
      </c>
      <c r="I26">
        <v>0.2</v>
      </c>
      <c r="J26">
        <v>504000</v>
      </c>
      <c r="K26">
        <v>74930.990000000005</v>
      </c>
      <c r="L26" t="s">
        <v>71</v>
      </c>
      <c r="M26" t="str">
        <f t="shared" si="0"/>
        <v>May</v>
      </c>
    </row>
    <row r="27" spans="1:13">
      <c r="A27" t="s">
        <v>133</v>
      </c>
      <c r="B27" t="s">
        <v>134</v>
      </c>
      <c r="C27" t="s">
        <v>135</v>
      </c>
      <c r="D27" t="s">
        <v>118</v>
      </c>
      <c r="E27" t="s">
        <v>57</v>
      </c>
      <c r="F27" t="s">
        <v>6</v>
      </c>
      <c r="G27">
        <v>4</v>
      </c>
      <c r="H27">
        <v>120000</v>
      </c>
      <c r="I27">
        <v>0</v>
      </c>
      <c r="J27">
        <v>480000</v>
      </c>
      <c r="K27">
        <v>203775.38</v>
      </c>
      <c r="L27" t="s">
        <v>71</v>
      </c>
      <c r="M27" t="str">
        <f t="shared" si="0"/>
        <v>Aug</v>
      </c>
    </row>
    <row r="28" spans="1:13">
      <c r="A28" t="s">
        <v>136</v>
      </c>
      <c r="B28" t="s">
        <v>137</v>
      </c>
      <c r="C28" t="s">
        <v>138</v>
      </c>
      <c r="D28" t="s">
        <v>62</v>
      </c>
      <c r="E28" t="s">
        <v>47</v>
      </c>
      <c r="F28" t="s">
        <v>5</v>
      </c>
      <c r="G28">
        <v>1</v>
      </c>
      <c r="H28">
        <v>180000</v>
      </c>
      <c r="I28">
        <v>0.2</v>
      </c>
      <c r="J28">
        <v>144000</v>
      </c>
      <c r="K28">
        <v>13242.06</v>
      </c>
      <c r="L28" t="s">
        <v>71</v>
      </c>
      <c r="M28" t="str">
        <f t="shared" si="0"/>
        <v>Aug</v>
      </c>
    </row>
    <row r="29" spans="1:13">
      <c r="A29" t="s">
        <v>139</v>
      </c>
      <c r="B29" t="s">
        <v>140</v>
      </c>
      <c r="C29" t="s">
        <v>141</v>
      </c>
      <c r="D29" t="s">
        <v>85</v>
      </c>
      <c r="E29" t="s">
        <v>86</v>
      </c>
      <c r="F29" t="s">
        <v>2</v>
      </c>
      <c r="G29">
        <v>2</v>
      </c>
      <c r="H29">
        <v>12000</v>
      </c>
      <c r="I29">
        <v>0</v>
      </c>
      <c r="J29">
        <v>24000</v>
      </c>
      <c r="K29">
        <v>9567.4500000000007</v>
      </c>
      <c r="L29" t="s">
        <v>71</v>
      </c>
      <c r="M29" t="str">
        <f t="shared" si="0"/>
        <v>Feb</v>
      </c>
    </row>
    <row r="30" spans="1:13">
      <c r="A30" t="s">
        <v>142</v>
      </c>
      <c r="B30" t="s">
        <v>143</v>
      </c>
      <c r="C30" t="s">
        <v>144</v>
      </c>
      <c r="D30" t="s">
        <v>110</v>
      </c>
      <c r="E30" t="s">
        <v>47</v>
      </c>
      <c r="F30" t="s">
        <v>4</v>
      </c>
      <c r="G30">
        <v>4</v>
      </c>
      <c r="H30">
        <v>85000</v>
      </c>
      <c r="I30">
        <v>0</v>
      </c>
      <c r="J30">
        <v>340000</v>
      </c>
      <c r="K30">
        <v>72722.19</v>
      </c>
      <c r="L30" t="s">
        <v>48</v>
      </c>
      <c r="M30" t="str">
        <f t="shared" si="0"/>
        <v>May</v>
      </c>
    </row>
    <row r="31" spans="1:13">
      <c r="A31" t="s">
        <v>145</v>
      </c>
      <c r="B31" t="s">
        <v>146</v>
      </c>
      <c r="C31" t="s">
        <v>147</v>
      </c>
      <c r="D31" t="s">
        <v>129</v>
      </c>
      <c r="E31" t="s">
        <v>47</v>
      </c>
      <c r="F31" t="s">
        <v>2</v>
      </c>
      <c r="G31">
        <v>5</v>
      </c>
      <c r="H31">
        <v>650000</v>
      </c>
      <c r="I31">
        <v>0</v>
      </c>
      <c r="J31">
        <v>3250000</v>
      </c>
      <c r="K31">
        <v>612205.78</v>
      </c>
      <c r="L31" t="s">
        <v>71</v>
      </c>
      <c r="M31" t="str">
        <f t="shared" si="0"/>
        <v>Nov</v>
      </c>
    </row>
    <row r="32" spans="1:13">
      <c r="A32" t="s">
        <v>148</v>
      </c>
      <c r="B32" t="s">
        <v>149</v>
      </c>
      <c r="C32" t="s">
        <v>150</v>
      </c>
      <c r="D32" t="s">
        <v>90</v>
      </c>
      <c r="E32" t="s">
        <v>86</v>
      </c>
      <c r="F32" t="s">
        <v>4</v>
      </c>
      <c r="G32">
        <v>2</v>
      </c>
      <c r="H32">
        <v>45000</v>
      </c>
      <c r="I32">
        <v>0.1</v>
      </c>
      <c r="J32">
        <v>81000</v>
      </c>
      <c r="K32">
        <v>9570.64</v>
      </c>
      <c r="L32" t="s">
        <v>48</v>
      </c>
      <c r="M32" t="str">
        <f t="shared" si="0"/>
        <v>Sep</v>
      </c>
    </row>
    <row r="33" spans="1:13">
      <c r="A33" t="s">
        <v>151</v>
      </c>
      <c r="B33" t="s">
        <v>152</v>
      </c>
      <c r="C33" t="s">
        <v>153</v>
      </c>
      <c r="D33" t="s">
        <v>62</v>
      </c>
      <c r="E33" t="s">
        <v>47</v>
      </c>
      <c r="F33" t="s">
        <v>4</v>
      </c>
      <c r="G33">
        <v>4</v>
      </c>
      <c r="H33">
        <v>180000</v>
      </c>
      <c r="I33">
        <v>0.05</v>
      </c>
      <c r="J33">
        <v>684000</v>
      </c>
      <c r="K33">
        <v>205767.34</v>
      </c>
      <c r="L33" t="s">
        <v>58</v>
      </c>
      <c r="M33" t="str">
        <f t="shared" si="0"/>
        <v>May</v>
      </c>
    </row>
    <row r="34" spans="1:13">
      <c r="A34" t="s">
        <v>154</v>
      </c>
      <c r="B34" t="s">
        <v>155</v>
      </c>
      <c r="C34" t="s">
        <v>132</v>
      </c>
      <c r="D34" t="s">
        <v>118</v>
      </c>
      <c r="E34" t="s">
        <v>57</v>
      </c>
      <c r="F34" t="s">
        <v>5</v>
      </c>
      <c r="G34">
        <v>2</v>
      </c>
      <c r="H34">
        <v>120000</v>
      </c>
      <c r="I34">
        <v>0</v>
      </c>
      <c r="J34">
        <v>240000</v>
      </c>
      <c r="K34">
        <v>70469.119999999995</v>
      </c>
      <c r="L34" t="s">
        <v>91</v>
      </c>
      <c r="M34" t="str">
        <f t="shared" si="0"/>
        <v>Jun</v>
      </c>
    </row>
    <row r="35" spans="1:13">
      <c r="A35" t="s">
        <v>156</v>
      </c>
      <c r="B35" t="s">
        <v>157</v>
      </c>
      <c r="C35" t="s">
        <v>109</v>
      </c>
      <c r="D35" t="s">
        <v>129</v>
      </c>
      <c r="E35" t="s">
        <v>47</v>
      </c>
      <c r="F35" t="s">
        <v>2</v>
      </c>
      <c r="G35">
        <v>5</v>
      </c>
      <c r="H35">
        <v>650000</v>
      </c>
      <c r="I35">
        <v>0.1</v>
      </c>
      <c r="J35">
        <v>2925000</v>
      </c>
      <c r="K35">
        <v>696248.79</v>
      </c>
      <c r="L35" t="s">
        <v>48</v>
      </c>
      <c r="M35" t="str">
        <f t="shared" si="0"/>
        <v>Jan</v>
      </c>
    </row>
    <row r="36" spans="1:13">
      <c r="A36" t="s">
        <v>158</v>
      </c>
      <c r="B36" t="s">
        <v>159</v>
      </c>
      <c r="C36" t="s">
        <v>147</v>
      </c>
      <c r="D36" t="s">
        <v>56</v>
      </c>
      <c r="E36" t="s">
        <v>57</v>
      </c>
      <c r="F36" t="s">
        <v>4</v>
      </c>
      <c r="G36">
        <v>2</v>
      </c>
      <c r="H36">
        <v>210000</v>
      </c>
      <c r="I36">
        <v>0</v>
      </c>
      <c r="J36">
        <v>420000</v>
      </c>
      <c r="K36">
        <v>121523.02</v>
      </c>
      <c r="L36" t="s">
        <v>48</v>
      </c>
      <c r="M36" t="str">
        <f t="shared" si="0"/>
        <v>Feb</v>
      </c>
    </row>
    <row r="37" spans="1:13">
      <c r="A37" t="s">
        <v>160</v>
      </c>
      <c r="B37" t="s">
        <v>125</v>
      </c>
      <c r="C37" t="s">
        <v>161</v>
      </c>
      <c r="D37" t="s">
        <v>52</v>
      </c>
      <c r="E37" t="s">
        <v>47</v>
      </c>
      <c r="F37" t="s">
        <v>4</v>
      </c>
      <c r="G37">
        <v>5</v>
      </c>
      <c r="H37">
        <v>55000</v>
      </c>
      <c r="I37">
        <v>0.15</v>
      </c>
      <c r="J37">
        <v>233750</v>
      </c>
      <c r="K37">
        <v>79549.179999999993</v>
      </c>
      <c r="L37" t="s">
        <v>91</v>
      </c>
      <c r="M37" t="str">
        <f t="shared" si="0"/>
        <v>May</v>
      </c>
    </row>
    <row r="38" spans="1:13">
      <c r="A38" t="s">
        <v>162</v>
      </c>
      <c r="B38" t="s">
        <v>163</v>
      </c>
      <c r="C38" t="s">
        <v>164</v>
      </c>
      <c r="D38" t="s">
        <v>75</v>
      </c>
      <c r="E38" t="s">
        <v>57</v>
      </c>
      <c r="F38" t="s">
        <v>6</v>
      </c>
      <c r="G38">
        <v>3</v>
      </c>
      <c r="H38">
        <v>35000</v>
      </c>
      <c r="I38">
        <v>0</v>
      </c>
      <c r="J38">
        <v>105000</v>
      </c>
      <c r="K38">
        <v>39719.83</v>
      </c>
      <c r="L38" t="s">
        <v>71</v>
      </c>
      <c r="M38" t="str">
        <f t="shared" si="0"/>
        <v>Apr</v>
      </c>
    </row>
    <row r="39" spans="1:13">
      <c r="A39" t="s">
        <v>165</v>
      </c>
      <c r="B39" t="s">
        <v>166</v>
      </c>
      <c r="C39" t="s">
        <v>167</v>
      </c>
      <c r="D39" t="s">
        <v>85</v>
      </c>
      <c r="E39" t="s">
        <v>86</v>
      </c>
      <c r="F39" t="s">
        <v>5</v>
      </c>
      <c r="G39">
        <v>1</v>
      </c>
      <c r="H39">
        <v>12000</v>
      </c>
      <c r="I39">
        <v>0.1</v>
      </c>
      <c r="J39">
        <v>10800</v>
      </c>
      <c r="K39">
        <v>2187.44</v>
      </c>
      <c r="L39" t="s">
        <v>48</v>
      </c>
      <c r="M39" t="str">
        <f t="shared" si="0"/>
        <v>Feb</v>
      </c>
    </row>
    <row r="40" spans="1:13">
      <c r="A40" t="s">
        <v>168</v>
      </c>
      <c r="B40" t="s">
        <v>169</v>
      </c>
      <c r="C40" t="s">
        <v>170</v>
      </c>
      <c r="D40" t="s">
        <v>56</v>
      </c>
      <c r="E40" t="s">
        <v>57</v>
      </c>
      <c r="F40" t="s">
        <v>5</v>
      </c>
      <c r="G40">
        <v>5</v>
      </c>
      <c r="H40">
        <v>210000</v>
      </c>
      <c r="I40">
        <v>0.05</v>
      </c>
      <c r="J40">
        <v>997500</v>
      </c>
      <c r="K40">
        <v>382448.56</v>
      </c>
      <c r="L40" t="s">
        <v>58</v>
      </c>
      <c r="M40" t="str">
        <f t="shared" si="0"/>
        <v>Apr</v>
      </c>
    </row>
    <row r="41" spans="1:13">
      <c r="A41" t="s">
        <v>171</v>
      </c>
      <c r="B41" t="s">
        <v>172</v>
      </c>
      <c r="C41" t="s">
        <v>173</v>
      </c>
      <c r="D41" t="s">
        <v>85</v>
      </c>
      <c r="E41" t="s">
        <v>86</v>
      </c>
      <c r="F41" t="s">
        <v>3</v>
      </c>
      <c r="G41">
        <v>2</v>
      </c>
      <c r="H41">
        <v>12000</v>
      </c>
      <c r="I41">
        <v>0.1</v>
      </c>
      <c r="J41">
        <v>21600</v>
      </c>
      <c r="K41">
        <v>2997.33</v>
      </c>
      <c r="L41" t="s">
        <v>48</v>
      </c>
      <c r="M41" t="str">
        <f t="shared" si="0"/>
        <v>May</v>
      </c>
    </row>
    <row r="42" spans="1:13">
      <c r="A42" t="s">
        <v>174</v>
      </c>
      <c r="B42" t="s">
        <v>175</v>
      </c>
      <c r="C42" t="s">
        <v>176</v>
      </c>
      <c r="D42" t="s">
        <v>56</v>
      </c>
      <c r="E42" t="s">
        <v>57</v>
      </c>
      <c r="F42" t="s">
        <v>3</v>
      </c>
      <c r="G42">
        <v>1</v>
      </c>
      <c r="H42">
        <v>210000</v>
      </c>
      <c r="I42">
        <v>0</v>
      </c>
      <c r="J42">
        <v>210000</v>
      </c>
      <c r="K42">
        <v>79504.78</v>
      </c>
      <c r="L42" t="s">
        <v>58</v>
      </c>
      <c r="M42" t="str">
        <f t="shared" si="0"/>
        <v>Jun</v>
      </c>
    </row>
    <row r="43" spans="1:13">
      <c r="A43" t="s">
        <v>177</v>
      </c>
      <c r="B43" t="s">
        <v>178</v>
      </c>
      <c r="C43" t="s">
        <v>179</v>
      </c>
      <c r="D43" t="s">
        <v>75</v>
      </c>
      <c r="E43" t="s">
        <v>57</v>
      </c>
      <c r="F43" t="s">
        <v>6</v>
      </c>
      <c r="G43">
        <v>5</v>
      </c>
      <c r="H43">
        <v>35000</v>
      </c>
      <c r="I43">
        <v>0</v>
      </c>
      <c r="J43">
        <v>175000</v>
      </c>
      <c r="K43">
        <v>44842.82</v>
      </c>
      <c r="L43" t="s">
        <v>71</v>
      </c>
      <c r="M43" t="str">
        <f t="shared" si="0"/>
        <v>May</v>
      </c>
    </row>
    <row r="44" spans="1:13">
      <c r="A44" t="s">
        <v>180</v>
      </c>
      <c r="B44" t="s">
        <v>181</v>
      </c>
      <c r="C44" t="s">
        <v>182</v>
      </c>
      <c r="D44" t="s">
        <v>75</v>
      </c>
      <c r="E44" t="s">
        <v>57</v>
      </c>
      <c r="F44" t="s">
        <v>5</v>
      </c>
      <c r="G44">
        <v>1</v>
      </c>
      <c r="H44">
        <v>35000</v>
      </c>
      <c r="I44">
        <v>0.2</v>
      </c>
      <c r="J44">
        <v>28000</v>
      </c>
      <c r="K44">
        <v>4747.21</v>
      </c>
      <c r="L44" t="s">
        <v>48</v>
      </c>
      <c r="M44" t="str">
        <f t="shared" si="0"/>
        <v>Jan</v>
      </c>
    </row>
    <row r="45" spans="1:13">
      <c r="A45" t="s">
        <v>183</v>
      </c>
      <c r="B45" t="s">
        <v>184</v>
      </c>
      <c r="C45" t="s">
        <v>100</v>
      </c>
      <c r="D45" t="s">
        <v>85</v>
      </c>
      <c r="E45" t="s">
        <v>86</v>
      </c>
      <c r="F45" t="s">
        <v>4</v>
      </c>
      <c r="G45">
        <v>3</v>
      </c>
      <c r="H45">
        <v>12000</v>
      </c>
      <c r="I45">
        <v>0</v>
      </c>
      <c r="J45">
        <v>36000</v>
      </c>
      <c r="K45">
        <v>8995.24</v>
      </c>
      <c r="L45" t="s">
        <v>48</v>
      </c>
      <c r="M45" t="str">
        <f t="shared" si="0"/>
        <v>Mar</v>
      </c>
    </row>
    <row r="46" spans="1:13">
      <c r="A46" t="s">
        <v>185</v>
      </c>
      <c r="B46" t="s">
        <v>186</v>
      </c>
      <c r="C46" t="s">
        <v>187</v>
      </c>
      <c r="D46" t="s">
        <v>46</v>
      </c>
      <c r="E46" t="s">
        <v>47</v>
      </c>
      <c r="F46" t="s">
        <v>3</v>
      </c>
      <c r="G46">
        <v>2</v>
      </c>
      <c r="H46">
        <v>420000</v>
      </c>
      <c r="I46">
        <v>0.15</v>
      </c>
      <c r="J46">
        <v>714000</v>
      </c>
      <c r="K46">
        <v>243828.82</v>
      </c>
      <c r="L46" t="s">
        <v>58</v>
      </c>
      <c r="M46" t="str">
        <f t="shared" si="0"/>
        <v>Feb</v>
      </c>
    </row>
    <row r="47" spans="1:13">
      <c r="A47" t="s">
        <v>188</v>
      </c>
      <c r="B47" t="s">
        <v>189</v>
      </c>
      <c r="C47" t="s">
        <v>190</v>
      </c>
      <c r="D47" t="s">
        <v>62</v>
      </c>
      <c r="E47" t="s">
        <v>47</v>
      </c>
      <c r="F47" t="s">
        <v>6</v>
      </c>
      <c r="G47">
        <v>1</v>
      </c>
      <c r="H47">
        <v>180000</v>
      </c>
      <c r="I47">
        <v>0.05</v>
      </c>
      <c r="J47">
        <v>171000</v>
      </c>
      <c r="K47">
        <v>54277.94</v>
      </c>
      <c r="L47" t="s">
        <v>58</v>
      </c>
      <c r="M47" t="str">
        <f t="shared" si="0"/>
        <v>Mar</v>
      </c>
    </row>
    <row r="48" spans="1:13">
      <c r="A48" t="s">
        <v>191</v>
      </c>
      <c r="B48" t="s">
        <v>192</v>
      </c>
      <c r="C48" t="s">
        <v>193</v>
      </c>
      <c r="D48" t="s">
        <v>118</v>
      </c>
      <c r="E48" t="s">
        <v>57</v>
      </c>
      <c r="F48" t="s">
        <v>3</v>
      </c>
      <c r="G48">
        <v>1</v>
      </c>
      <c r="H48">
        <v>120000</v>
      </c>
      <c r="I48">
        <v>0.05</v>
      </c>
      <c r="J48">
        <v>114000</v>
      </c>
      <c r="K48">
        <v>22724.23</v>
      </c>
      <c r="L48" t="s">
        <v>58</v>
      </c>
      <c r="M48" t="str">
        <f t="shared" si="0"/>
        <v>Dec</v>
      </c>
    </row>
    <row r="49" spans="1:13">
      <c r="A49" t="s">
        <v>194</v>
      </c>
      <c r="B49" t="s">
        <v>195</v>
      </c>
      <c r="C49" t="s">
        <v>196</v>
      </c>
      <c r="D49" t="s">
        <v>118</v>
      </c>
      <c r="E49" t="s">
        <v>57</v>
      </c>
      <c r="F49" t="s">
        <v>4</v>
      </c>
      <c r="G49">
        <v>2</v>
      </c>
      <c r="H49">
        <v>120000</v>
      </c>
      <c r="I49">
        <v>0.1</v>
      </c>
      <c r="J49">
        <v>216000</v>
      </c>
      <c r="K49">
        <v>82393.84</v>
      </c>
      <c r="L49" t="s">
        <v>58</v>
      </c>
      <c r="M49" t="str">
        <f t="shared" si="0"/>
        <v>Mar</v>
      </c>
    </row>
    <row r="50" spans="1:13">
      <c r="A50" t="s">
        <v>197</v>
      </c>
      <c r="B50" t="s">
        <v>198</v>
      </c>
      <c r="C50" t="s">
        <v>199</v>
      </c>
      <c r="D50" t="s">
        <v>75</v>
      </c>
      <c r="E50" t="s">
        <v>57</v>
      </c>
      <c r="F50" t="s">
        <v>2</v>
      </c>
      <c r="G50">
        <v>1</v>
      </c>
      <c r="H50">
        <v>35000</v>
      </c>
      <c r="I50">
        <v>0.1</v>
      </c>
      <c r="J50">
        <v>31500</v>
      </c>
      <c r="K50">
        <v>4008.02</v>
      </c>
      <c r="L50" t="s">
        <v>58</v>
      </c>
      <c r="M50" t="str">
        <f t="shared" si="0"/>
        <v>Mar</v>
      </c>
    </row>
    <row r="51" spans="1:13">
      <c r="A51" t="s">
        <v>200</v>
      </c>
      <c r="B51" t="s">
        <v>201</v>
      </c>
      <c r="C51" t="s">
        <v>202</v>
      </c>
      <c r="D51" t="s">
        <v>90</v>
      </c>
      <c r="E51" t="s">
        <v>86</v>
      </c>
      <c r="F51" t="s">
        <v>4</v>
      </c>
      <c r="G51">
        <v>3</v>
      </c>
      <c r="H51">
        <v>45000</v>
      </c>
      <c r="I51">
        <v>0</v>
      </c>
      <c r="J51">
        <v>135000</v>
      </c>
      <c r="K51">
        <v>52624.44</v>
      </c>
      <c r="L51" t="s">
        <v>91</v>
      </c>
      <c r="M51" t="str">
        <f t="shared" si="0"/>
        <v>Jun</v>
      </c>
    </row>
    <row r="52" spans="1:13">
      <c r="A52" t="s">
        <v>203</v>
      </c>
      <c r="B52" t="s">
        <v>204</v>
      </c>
      <c r="C52" t="s">
        <v>205</v>
      </c>
      <c r="D52" t="s">
        <v>75</v>
      </c>
      <c r="E52" t="s">
        <v>57</v>
      </c>
      <c r="F52" t="s">
        <v>3</v>
      </c>
      <c r="G52">
        <v>3</v>
      </c>
      <c r="H52">
        <v>35000</v>
      </c>
      <c r="I52">
        <v>0.05</v>
      </c>
      <c r="J52">
        <v>99750</v>
      </c>
      <c r="K52">
        <v>23813.99</v>
      </c>
      <c r="L52" t="s">
        <v>91</v>
      </c>
      <c r="M52" t="str">
        <f t="shared" si="0"/>
        <v>Feb</v>
      </c>
    </row>
    <row r="53" spans="1:13">
      <c r="A53" t="s">
        <v>206</v>
      </c>
      <c r="B53" t="s">
        <v>207</v>
      </c>
      <c r="C53" t="s">
        <v>208</v>
      </c>
      <c r="D53" t="s">
        <v>129</v>
      </c>
      <c r="E53" t="s">
        <v>47</v>
      </c>
      <c r="F53" t="s">
        <v>5</v>
      </c>
      <c r="G53">
        <v>3</v>
      </c>
      <c r="H53">
        <v>650000</v>
      </c>
      <c r="I53">
        <v>0</v>
      </c>
      <c r="J53">
        <v>1950000</v>
      </c>
      <c r="K53">
        <v>571819.51</v>
      </c>
      <c r="L53" t="s">
        <v>48</v>
      </c>
      <c r="M53" t="str">
        <f t="shared" si="0"/>
        <v>Mar</v>
      </c>
    </row>
    <row r="54" spans="1:13">
      <c r="A54" t="s">
        <v>209</v>
      </c>
      <c r="B54" t="s">
        <v>210</v>
      </c>
      <c r="C54" t="s">
        <v>211</v>
      </c>
      <c r="D54" t="s">
        <v>52</v>
      </c>
      <c r="E54" t="s">
        <v>47</v>
      </c>
      <c r="F54" t="s">
        <v>3</v>
      </c>
      <c r="G54">
        <v>3</v>
      </c>
      <c r="H54">
        <v>55000</v>
      </c>
      <c r="I54">
        <v>0.2</v>
      </c>
      <c r="J54">
        <v>132000</v>
      </c>
      <c r="K54">
        <v>6214.62</v>
      </c>
      <c r="L54" t="s">
        <v>48</v>
      </c>
      <c r="M54" t="str">
        <f t="shared" si="0"/>
        <v>Aug</v>
      </c>
    </row>
    <row r="55" spans="1:13">
      <c r="A55" t="s">
        <v>212</v>
      </c>
      <c r="B55" t="s">
        <v>213</v>
      </c>
      <c r="C55" t="s">
        <v>211</v>
      </c>
      <c r="D55" t="s">
        <v>62</v>
      </c>
      <c r="E55" t="s">
        <v>47</v>
      </c>
      <c r="F55" t="s">
        <v>5</v>
      </c>
      <c r="G55">
        <v>2</v>
      </c>
      <c r="H55">
        <v>180000</v>
      </c>
      <c r="I55">
        <v>0.05</v>
      </c>
      <c r="J55">
        <v>342000</v>
      </c>
      <c r="K55">
        <v>139685.63</v>
      </c>
      <c r="L55" t="s">
        <v>58</v>
      </c>
      <c r="M55" t="str">
        <f t="shared" si="0"/>
        <v>Oct</v>
      </c>
    </row>
    <row r="56" spans="1:13">
      <c r="A56" t="s">
        <v>214</v>
      </c>
      <c r="B56" t="s">
        <v>215</v>
      </c>
      <c r="C56" t="s">
        <v>216</v>
      </c>
      <c r="D56" t="s">
        <v>85</v>
      </c>
      <c r="E56" t="s">
        <v>86</v>
      </c>
      <c r="F56" t="s">
        <v>5</v>
      </c>
      <c r="G56">
        <v>1</v>
      </c>
      <c r="H56">
        <v>12000</v>
      </c>
      <c r="I56">
        <v>0.2</v>
      </c>
      <c r="J56">
        <v>9600</v>
      </c>
      <c r="K56">
        <v>16.7</v>
      </c>
      <c r="L56" t="s">
        <v>91</v>
      </c>
      <c r="M56" t="str">
        <f t="shared" si="0"/>
        <v>Aug</v>
      </c>
    </row>
    <row r="57" spans="1:13">
      <c r="A57" t="s">
        <v>217</v>
      </c>
      <c r="B57" t="s">
        <v>218</v>
      </c>
      <c r="C57" t="s">
        <v>219</v>
      </c>
      <c r="D57" t="s">
        <v>56</v>
      </c>
      <c r="E57" t="s">
        <v>57</v>
      </c>
      <c r="F57" t="s">
        <v>3</v>
      </c>
      <c r="G57">
        <v>4</v>
      </c>
      <c r="H57">
        <v>210000</v>
      </c>
      <c r="I57">
        <v>0.05</v>
      </c>
      <c r="J57">
        <v>798000</v>
      </c>
      <c r="K57">
        <v>244735.59</v>
      </c>
      <c r="L57" t="s">
        <v>58</v>
      </c>
      <c r="M57" t="str">
        <f t="shared" si="0"/>
        <v>Jun</v>
      </c>
    </row>
    <row r="58" spans="1:13">
      <c r="A58" t="s">
        <v>220</v>
      </c>
      <c r="B58" t="s">
        <v>221</v>
      </c>
      <c r="C58" t="s">
        <v>222</v>
      </c>
      <c r="D58" t="s">
        <v>118</v>
      </c>
      <c r="E58" t="s">
        <v>57</v>
      </c>
      <c r="F58" t="s">
        <v>3</v>
      </c>
      <c r="G58">
        <v>4</v>
      </c>
      <c r="H58">
        <v>120000</v>
      </c>
      <c r="I58">
        <v>0.2</v>
      </c>
      <c r="J58">
        <v>384000</v>
      </c>
      <c r="K58">
        <v>23041.759999999998</v>
      </c>
      <c r="L58" t="s">
        <v>91</v>
      </c>
      <c r="M58" t="str">
        <f t="shared" si="0"/>
        <v>Aug</v>
      </c>
    </row>
    <row r="59" spans="1:13">
      <c r="A59" t="s">
        <v>223</v>
      </c>
      <c r="B59" t="s">
        <v>224</v>
      </c>
      <c r="C59" t="s">
        <v>135</v>
      </c>
      <c r="D59" t="s">
        <v>62</v>
      </c>
      <c r="E59" t="s">
        <v>47</v>
      </c>
      <c r="F59" t="s">
        <v>3</v>
      </c>
      <c r="G59">
        <v>1</v>
      </c>
      <c r="H59">
        <v>180000</v>
      </c>
      <c r="I59">
        <v>0.05</v>
      </c>
      <c r="J59">
        <v>171000</v>
      </c>
      <c r="K59">
        <v>58055.99</v>
      </c>
      <c r="L59" t="s">
        <v>91</v>
      </c>
      <c r="M59" t="str">
        <f t="shared" si="0"/>
        <v>Oct</v>
      </c>
    </row>
    <row r="60" spans="1:13">
      <c r="A60" t="s">
        <v>225</v>
      </c>
      <c r="B60" t="s">
        <v>226</v>
      </c>
      <c r="C60" t="s">
        <v>227</v>
      </c>
      <c r="D60" t="s">
        <v>90</v>
      </c>
      <c r="E60" t="s">
        <v>86</v>
      </c>
      <c r="F60" t="s">
        <v>2</v>
      </c>
      <c r="G60">
        <v>4</v>
      </c>
      <c r="H60">
        <v>45000</v>
      </c>
      <c r="I60">
        <v>0.2</v>
      </c>
      <c r="J60">
        <v>144000</v>
      </c>
      <c r="K60">
        <v>34614.11</v>
      </c>
      <c r="L60" t="s">
        <v>48</v>
      </c>
      <c r="M60" t="str">
        <f t="shared" si="0"/>
        <v>Aug</v>
      </c>
    </row>
    <row r="61" spans="1:13">
      <c r="A61" t="s">
        <v>228</v>
      </c>
      <c r="B61" t="s">
        <v>229</v>
      </c>
      <c r="C61" t="s">
        <v>147</v>
      </c>
      <c r="D61" t="s">
        <v>75</v>
      </c>
      <c r="E61" t="s">
        <v>57</v>
      </c>
      <c r="F61" t="s">
        <v>6</v>
      </c>
      <c r="G61">
        <v>5</v>
      </c>
      <c r="H61">
        <v>35000</v>
      </c>
      <c r="I61">
        <v>0.05</v>
      </c>
      <c r="J61">
        <v>166250</v>
      </c>
      <c r="K61">
        <v>65587.45</v>
      </c>
      <c r="L61" t="s">
        <v>58</v>
      </c>
      <c r="M61" t="str">
        <f t="shared" si="0"/>
        <v>Sep</v>
      </c>
    </row>
    <row r="62" spans="1:13">
      <c r="A62" t="s">
        <v>230</v>
      </c>
      <c r="B62" t="s">
        <v>231</v>
      </c>
      <c r="C62" t="s">
        <v>227</v>
      </c>
      <c r="D62" t="s">
        <v>118</v>
      </c>
      <c r="E62" t="s">
        <v>57</v>
      </c>
      <c r="F62" t="s">
        <v>3</v>
      </c>
      <c r="G62">
        <v>1</v>
      </c>
      <c r="H62">
        <v>120000</v>
      </c>
      <c r="I62">
        <v>0</v>
      </c>
      <c r="J62">
        <v>120000</v>
      </c>
      <c r="K62">
        <v>46067.1</v>
      </c>
      <c r="L62" t="s">
        <v>48</v>
      </c>
      <c r="M62" t="str">
        <f t="shared" si="0"/>
        <v>Mar</v>
      </c>
    </row>
    <row r="63" spans="1:13">
      <c r="A63" t="s">
        <v>232</v>
      </c>
      <c r="B63" t="s">
        <v>233</v>
      </c>
      <c r="C63" t="s">
        <v>234</v>
      </c>
      <c r="D63" t="s">
        <v>90</v>
      </c>
      <c r="E63" t="s">
        <v>86</v>
      </c>
      <c r="F63" t="s">
        <v>4</v>
      </c>
      <c r="G63">
        <v>5</v>
      </c>
      <c r="H63">
        <v>45000</v>
      </c>
      <c r="I63">
        <v>0</v>
      </c>
      <c r="J63">
        <v>225000</v>
      </c>
      <c r="K63">
        <v>57610.49</v>
      </c>
      <c r="L63" t="s">
        <v>71</v>
      </c>
      <c r="M63" t="str">
        <f t="shared" si="0"/>
        <v>Aug</v>
      </c>
    </row>
    <row r="64" spans="1:13">
      <c r="A64" t="s">
        <v>235</v>
      </c>
      <c r="B64" t="s">
        <v>231</v>
      </c>
      <c r="C64" t="s">
        <v>236</v>
      </c>
      <c r="D64" t="s">
        <v>118</v>
      </c>
      <c r="E64" t="s">
        <v>57</v>
      </c>
      <c r="F64" t="s">
        <v>2</v>
      </c>
      <c r="G64">
        <v>1</v>
      </c>
      <c r="H64">
        <v>120000</v>
      </c>
      <c r="I64">
        <v>0</v>
      </c>
      <c r="J64">
        <v>120000</v>
      </c>
      <c r="K64">
        <v>28779.18</v>
      </c>
      <c r="L64" t="s">
        <v>71</v>
      </c>
      <c r="M64" t="str">
        <f t="shared" si="0"/>
        <v>Mar</v>
      </c>
    </row>
    <row r="65" spans="1:13">
      <c r="A65" t="s">
        <v>237</v>
      </c>
      <c r="B65" t="s">
        <v>238</v>
      </c>
      <c r="C65" t="s">
        <v>239</v>
      </c>
      <c r="D65" t="s">
        <v>129</v>
      </c>
      <c r="E65" t="s">
        <v>47</v>
      </c>
      <c r="F65" t="s">
        <v>3</v>
      </c>
      <c r="G65">
        <v>2</v>
      </c>
      <c r="H65">
        <v>650000</v>
      </c>
      <c r="I65">
        <v>0</v>
      </c>
      <c r="J65">
        <v>1300000</v>
      </c>
      <c r="K65">
        <v>424781.9</v>
      </c>
      <c r="L65" t="s">
        <v>91</v>
      </c>
      <c r="M65" t="str">
        <f t="shared" si="0"/>
        <v>Oct</v>
      </c>
    </row>
    <row r="66" spans="1:13">
      <c r="A66" t="s">
        <v>240</v>
      </c>
      <c r="B66" t="s">
        <v>241</v>
      </c>
      <c r="C66" t="s">
        <v>242</v>
      </c>
      <c r="D66" t="s">
        <v>90</v>
      </c>
      <c r="E66" t="s">
        <v>86</v>
      </c>
      <c r="F66" t="s">
        <v>4</v>
      </c>
      <c r="G66">
        <v>5</v>
      </c>
      <c r="H66">
        <v>45000</v>
      </c>
      <c r="I66">
        <v>0.1</v>
      </c>
      <c r="J66">
        <v>202500</v>
      </c>
      <c r="K66">
        <v>28292.92</v>
      </c>
      <c r="L66" t="s">
        <v>58</v>
      </c>
      <c r="M66" t="str">
        <f t="shared" si="0"/>
        <v>Nov</v>
      </c>
    </row>
    <row r="67" spans="1:13">
      <c r="A67" t="s">
        <v>243</v>
      </c>
      <c r="B67" t="s">
        <v>244</v>
      </c>
      <c r="C67" t="s">
        <v>182</v>
      </c>
      <c r="D67" t="s">
        <v>90</v>
      </c>
      <c r="E67" t="s">
        <v>86</v>
      </c>
      <c r="F67" t="s">
        <v>3</v>
      </c>
      <c r="G67">
        <v>3</v>
      </c>
      <c r="H67">
        <v>45000</v>
      </c>
      <c r="I67">
        <v>0</v>
      </c>
      <c r="J67">
        <v>135000</v>
      </c>
      <c r="K67">
        <v>30137</v>
      </c>
      <c r="L67" t="s">
        <v>71</v>
      </c>
      <c r="M67" t="str">
        <f t="shared" ref="M67:M130" si="1">TEXT(B67,"mmm")</f>
        <v>Aug</v>
      </c>
    </row>
    <row r="68" spans="1:13">
      <c r="A68" t="s">
        <v>245</v>
      </c>
      <c r="B68" t="s">
        <v>246</v>
      </c>
      <c r="C68" t="s">
        <v>147</v>
      </c>
      <c r="D68" t="s">
        <v>118</v>
      </c>
      <c r="E68" t="s">
        <v>57</v>
      </c>
      <c r="F68" t="s">
        <v>6</v>
      </c>
      <c r="G68">
        <v>4</v>
      </c>
      <c r="H68">
        <v>120000</v>
      </c>
      <c r="I68">
        <v>0</v>
      </c>
      <c r="J68">
        <v>480000</v>
      </c>
      <c r="K68">
        <v>123524.59</v>
      </c>
      <c r="L68" t="s">
        <v>91</v>
      </c>
      <c r="M68" t="str">
        <f t="shared" si="1"/>
        <v>May</v>
      </c>
    </row>
    <row r="69" spans="1:13">
      <c r="A69" t="s">
        <v>247</v>
      </c>
      <c r="B69" t="s">
        <v>122</v>
      </c>
      <c r="C69" t="s">
        <v>234</v>
      </c>
      <c r="D69" t="s">
        <v>85</v>
      </c>
      <c r="E69" t="s">
        <v>86</v>
      </c>
      <c r="F69" t="s">
        <v>2</v>
      </c>
      <c r="G69">
        <v>1</v>
      </c>
      <c r="H69">
        <v>12000</v>
      </c>
      <c r="I69">
        <v>0</v>
      </c>
      <c r="J69">
        <v>12000</v>
      </c>
      <c r="K69">
        <v>4911.3100000000004</v>
      </c>
      <c r="L69" t="s">
        <v>58</v>
      </c>
      <c r="M69" t="str">
        <f t="shared" si="1"/>
        <v>Oct</v>
      </c>
    </row>
    <row r="70" spans="1:13">
      <c r="A70" t="s">
        <v>248</v>
      </c>
      <c r="B70" t="s">
        <v>233</v>
      </c>
      <c r="C70" t="s">
        <v>249</v>
      </c>
      <c r="D70" t="s">
        <v>46</v>
      </c>
      <c r="E70" t="s">
        <v>47</v>
      </c>
      <c r="F70" t="s">
        <v>5</v>
      </c>
      <c r="G70">
        <v>4</v>
      </c>
      <c r="H70">
        <v>420000</v>
      </c>
      <c r="I70">
        <v>0.05</v>
      </c>
      <c r="J70">
        <v>1596000</v>
      </c>
      <c r="K70">
        <v>425871.59</v>
      </c>
      <c r="L70" t="s">
        <v>58</v>
      </c>
      <c r="M70" t="str">
        <f t="shared" si="1"/>
        <v>Aug</v>
      </c>
    </row>
    <row r="71" spans="1:13">
      <c r="A71" t="s">
        <v>250</v>
      </c>
      <c r="B71" t="s">
        <v>251</v>
      </c>
      <c r="C71" t="s">
        <v>252</v>
      </c>
      <c r="D71" t="s">
        <v>62</v>
      </c>
      <c r="E71" t="s">
        <v>47</v>
      </c>
      <c r="F71" t="s">
        <v>4</v>
      </c>
      <c r="G71">
        <v>5</v>
      </c>
      <c r="H71">
        <v>180000</v>
      </c>
      <c r="I71">
        <v>0.2</v>
      </c>
      <c r="J71">
        <v>720000</v>
      </c>
      <c r="K71">
        <v>220253.73</v>
      </c>
      <c r="L71" t="s">
        <v>71</v>
      </c>
      <c r="M71" t="str">
        <f t="shared" si="1"/>
        <v>Jul</v>
      </c>
    </row>
    <row r="72" spans="1:13">
      <c r="A72" t="s">
        <v>253</v>
      </c>
      <c r="B72" t="s">
        <v>254</v>
      </c>
      <c r="C72" t="s">
        <v>255</v>
      </c>
      <c r="D72" t="s">
        <v>129</v>
      </c>
      <c r="E72" t="s">
        <v>47</v>
      </c>
      <c r="F72" t="s">
        <v>3</v>
      </c>
      <c r="G72">
        <v>3</v>
      </c>
      <c r="H72">
        <v>650000</v>
      </c>
      <c r="I72">
        <v>0.1</v>
      </c>
      <c r="J72">
        <v>1755000</v>
      </c>
      <c r="K72">
        <v>233159.65</v>
      </c>
      <c r="L72" t="s">
        <v>58</v>
      </c>
      <c r="M72" t="str">
        <f t="shared" si="1"/>
        <v>Jun</v>
      </c>
    </row>
    <row r="73" spans="1:13">
      <c r="A73" t="s">
        <v>256</v>
      </c>
      <c r="B73" t="s">
        <v>257</v>
      </c>
      <c r="C73" t="s">
        <v>258</v>
      </c>
      <c r="D73" t="s">
        <v>90</v>
      </c>
      <c r="E73" t="s">
        <v>86</v>
      </c>
      <c r="F73" t="s">
        <v>6</v>
      </c>
      <c r="G73">
        <v>3</v>
      </c>
      <c r="H73">
        <v>45000</v>
      </c>
      <c r="I73">
        <v>0.1</v>
      </c>
      <c r="J73">
        <v>121500</v>
      </c>
      <c r="K73">
        <v>29548.35</v>
      </c>
      <c r="L73" t="s">
        <v>71</v>
      </c>
      <c r="M73" t="str">
        <f t="shared" si="1"/>
        <v>Apr</v>
      </c>
    </row>
    <row r="74" spans="1:13">
      <c r="A74" t="s">
        <v>259</v>
      </c>
      <c r="B74" t="s">
        <v>137</v>
      </c>
      <c r="C74" t="s">
        <v>260</v>
      </c>
      <c r="D74" t="s">
        <v>110</v>
      </c>
      <c r="E74" t="s">
        <v>47</v>
      </c>
      <c r="F74" t="s">
        <v>3</v>
      </c>
      <c r="G74">
        <v>2</v>
      </c>
      <c r="H74">
        <v>85000</v>
      </c>
      <c r="I74">
        <v>0.15</v>
      </c>
      <c r="J74">
        <v>144500</v>
      </c>
      <c r="K74">
        <v>26483.73</v>
      </c>
      <c r="L74" t="s">
        <v>48</v>
      </c>
      <c r="M74" t="str">
        <f t="shared" si="1"/>
        <v>Aug</v>
      </c>
    </row>
    <row r="75" spans="1:13">
      <c r="A75" t="s">
        <v>261</v>
      </c>
      <c r="B75" t="s">
        <v>262</v>
      </c>
      <c r="C75" t="s">
        <v>263</v>
      </c>
      <c r="D75" t="s">
        <v>46</v>
      </c>
      <c r="E75" t="s">
        <v>47</v>
      </c>
      <c r="F75" t="s">
        <v>5</v>
      </c>
      <c r="G75">
        <v>4</v>
      </c>
      <c r="H75">
        <v>420000</v>
      </c>
      <c r="I75">
        <v>0</v>
      </c>
      <c r="J75">
        <v>1680000</v>
      </c>
      <c r="K75">
        <v>362796.23</v>
      </c>
      <c r="L75" t="s">
        <v>91</v>
      </c>
      <c r="M75" t="str">
        <f t="shared" si="1"/>
        <v>Nov</v>
      </c>
    </row>
    <row r="76" spans="1:13">
      <c r="A76" t="s">
        <v>264</v>
      </c>
      <c r="B76" t="s">
        <v>265</v>
      </c>
      <c r="C76" t="s">
        <v>266</v>
      </c>
      <c r="D76" t="s">
        <v>62</v>
      </c>
      <c r="E76" t="s">
        <v>47</v>
      </c>
      <c r="F76" t="s">
        <v>6</v>
      </c>
      <c r="G76">
        <v>2</v>
      </c>
      <c r="H76">
        <v>180000</v>
      </c>
      <c r="I76">
        <v>0.1</v>
      </c>
      <c r="J76">
        <v>324000</v>
      </c>
      <c r="K76">
        <v>94230.59</v>
      </c>
      <c r="L76" t="s">
        <v>71</v>
      </c>
      <c r="M76" t="str">
        <f t="shared" si="1"/>
        <v>Jun</v>
      </c>
    </row>
    <row r="77" spans="1:13">
      <c r="A77" t="s">
        <v>267</v>
      </c>
      <c r="B77" t="s">
        <v>159</v>
      </c>
      <c r="C77" t="s">
        <v>268</v>
      </c>
      <c r="D77" t="s">
        <v>75</v>
      </c>
      <c r="E77" t="s">
        <v>57</v>
      </c>
      <c r="F77" t="s">
        <v>6</v>
      </c>
      <c r="G77">
        <v>4</v>
      </c>
      <c r="H77">
        <v>35000</v>
      </c>
      <c r="I77">
        <v>0</v>
      </c>
      <c r="J77">
        <v>140000</v>
      </c>
      <c r="K77">
        <v>34686.879999999997</v>
      </c>
      <c r="L77" t="s">
        <v>58</v>
      </c>
      <c r="M77" t="str">
        <f t="shared" si="1"/>
        <v>Feb</v>
      </c>
    </row>
    <row r="78" spans="1:13">
      <c r="A78" t="s">
        <v>269</v>
      </c>
      <c r="B78" t="s">
        <v>146</v>
      </c>
      <c r="C78" t="s">
        <v>270</v>
      </c>
      <c r="D78" t="s">
        <v>46</v>
      </c>
      <c r="E78" t="s">
        <v>47</v>
      </c>
      <c r="F78" t="s">
        <v>5</v>
      </c>
      <c r="G78">
        <v>1</v>
      </c>
      <c r="H78">
        <v>420000</v>
      </c>
      <c r="I78">
        <v>0</v>
      </c>
      <c r="J78">
        <v>420000</v>
      </c>
      <c r="K78">
        <v>81314.03</v>
      </c>
      <c r="L78" t="s">
        <v>58</v>
      </c>
      <c r="M78" t="str">
        <f t="shared" si="1"/>
        <v>Nov</v>
      </c>
    </row>
    <row r="79" spans="1:13">
      <c r="A79" t="s">
        <v>271</v>
      </c>
      <c r="B79" t="s">
        <v>272</v>
      </c>
      <c r="C79" t="s">
        <v>273</v>
      </c>
      <c r="D79" t="s">
        <v>118</v>
      </c>
      <c r="E79" t="s">
        <v>57</v>
      </c>
      <c r="F79" t="s">
        <v>4</v>
      </c>
      <c r="G79">
        <v>4</v>
      </c>
      <c r="H79">
        <v>120000</v>
      </c>
      <c r="I79">
        <v>0.2</v>
      </c>
      <c r="J79">
        <v>384000</v>
      </c>
      <c r="K79">
        <v>105175.13</v>
      </c>
      <c r="L79" t="s">
        <v>91</v>
      </c>
      <c r="M79" t="str">
        <f t="shared" si="1"/>
        <v>Mar</v>
      </c>
    </row>
    <row r="80" spans="1:13">
      <c r="A80" t="s">
        <v>274</v>
      </c>
      <c r="B80" t="s">
        <v>275</v>
      </c>
      <c r="C80" t="s">
        <v>276</v>
      </c>
      <c r="D80" t="s">
        <v>85</v>
      </c>
      <c r="E80" t="s">
        <v>86</v>
      </c>
      <c r="F80" t="s">
        <v>2</v>
      </c>
      <c r="G80">
        <v>5</v>
      </c>
      <c r="H80">
        <v>12000</v>
      </c>
      <c r="I80">
        <v>0.15</v>
      </c>
      <c r="J80">
        <v>51000</v>
      </c>
      <c r="K80">
        <v>2387.5</v>
      </c>
      <c r="L80" t="s">
        <v>91</v>
      </c>
      <c r="M80" t="str">
        <f t="shared" si="1"/>
        <v>Mar</v>
      </c>
    </row>
    <row r="81" spans="1:13">
      <c r="A81" t="s">
        <v>277</v>
      </c>
      <c r="B81" t="s">
        <v>278</v>
      </c>
      <c r="C81" t="s">
        <v>279</v>
      </c>
      <c r="D81" t="s">
        <v>46</v>
      </c>
      <c r="E81" t="s">
        <v>47</v>
      </c>
      <c r="F81" t="s">
        <v>4</v>
      </c>
      <c r="G81">
        <v>1</v>
      </c>
      <c r="H81">
        <v>420000</v>
      </c>
      <c r="I81">
        <v>0.05</v>
      </c>
      <c r="J81">
        <v>399000</v>
      </c>
      <c r="K81">
        <v>102704.65</v>
      </c>
      <c r="L81" t="s">
        <v>58</v>
      </c>
      <c r="M81" t="str">
        <f t="shared" si="1"/>
        <v>Oct</v>
      </c>
    </row>
    <row r="82" spans="1:13">
      <c r="A82" t="s">
        <v>280</v>
      </c>
      <c r="B82" t="s">
        <v>281</v>
      </c>
      <c r="C82" t="s">
        <v>173</v>
      </c>
      <c r="D82" t="s">
        <v>46</v>
      </c>
      <c r="E82" t="s">
        <v>47</v>
      </c>
      <c r="F82" t="s">
        <v>3</v>
      </c>
      <c r="G82">
        <v>2</v>
      </c>
      <c r="H82">
        <v>420000</v>
      </c>
      <c r="I82">
        <v>0</v>
      </c>
      <c r="J82">
        <v>840000</v>
      </c>
      <c r="K82">
        <v>219876.63</v>
      </c>
      <c r="L82" t="s">
        <v>48</v>
      </c>
      <c r="M82" t="str">
        <f t="shared" si="1"/>
        <v>Oct</v>
      </c>
    </row>
    <row r="83" spans="1:13">
      <c r="A83" t="s">
        <v>282</v>
      </c>
      <c r="B83" t="s">
        <v>283</v>
      </c>
      <c r="C83" t="s">
        <v>187</v>
      </c>
      <c r="D83" t="s">
        <v>52</v>
      </c>
      <c r="E83" t="s">
        <v>47</v>
      </c>
      <c r="F83" t="s">
        <v>5</v>
      </c>
      <c r="G83">
        <v>3</v>
      </c>
      <c r="H83">
        <v>55000</v>
      </c>
      <c r="I83">
        <v>0.15</v>
      </c>
      <c r="J83">
        <v>140250</v>
      </c>
      <c r="K83">
        <v>30415.759999999998</v>
      </c>
      <c r="L83" t="s">
        <v>91</v>
      </c>
      <c r="M83" t="str">
        <f t="shared" si="1"/>
        <v>Jan</v>
      </c>
    </row>
    <row r="84" spans="1:13">
      <c r="A84" t="s">
        <v>284</v>
      </c>
      <c r="B84" t="s">
        <v>221</v>
      </c>
      <c r="C84" t="s">
        <v>68</v>
      </c>
      <c r="D84" t="s">
        <v>129</v>
      </c>
      <c r="E84" t="s">
        <v>47</v>
      </c>
      <c r="F84" t="s">
        <v>4</v>
      </c>
      <c r="G84">
        <v>4</v>
      </c>
      <c r="H84">
        <v>650000</v>
      </c>
      <c r="I84">
        <v>0</v>
      </c>
      <c r="J84">
        <v>2600000</v>
      </c>
      <c r="K84">
        <v>865666.57</v>
      </c>
      <c r="L84" t="s">
        <v>58</v>
      </c>
      <c r="M84" t="str">
        <f t="shared" si="1"/>
        <v>Aug</v>
      </c>
    </row>
    <row r="85" spans="1:13">
      <c r="A85" t="s">
        <v>285</v>
      </c>
      <c r="B85" t="s">
        <v>286</v>
      </c>
      <c r="C85" t="s">
        <v>287</v>
      </c>
      <c r="D85" t="s">
        <v>62</v>
      </c>
      <c r="E85" t="s">
        <v>47</v>
      </c>
      <c r="F85" t="s">
        <v>4</v>
      </c>
      <c r="G85">
        <v>5</v>
      </c>
      <c r="H85">
        <v>180000</v>
      </c>
      <c r="I85">
        <v>0.2</v>
      </c>
      <c r="J85">
        <v>720000</v>
      </c>
      <c r="K85">
        <v>159369.98000000001</v>
      </c>
      <c r="L85" t="s">
        <v>71</v>
      </c>
      <c r="M85" t="str">
        <f t="shared" si="1"/>
        <v>Apr</v>
      </c>
    </row>
    <row r="86" spans="1:13">
      <c r="A86" t="s">
        <v>288</v>
      </c>
      <c r="B86" t="s">
        <v>281</v>
      </c>
      <c r="C86" t="s">
        <v>289</v>
      </c>
      <c r="D86" t="s">
        <v>62</v>
      </c>
      <c r="E86" t="s">
        <v>47</v>
      </c>
      <c r="F86" t="s">
        <v>6</v>
      </c>
      <c r="G86">
        <v>3</v>
      </c>
      <c r="H86">
        <v>180000</v>
      </c>
      <c r="I86">
        <v>0.05</v>
      </c>
      <c r="J86">
        <v>513000</v>
      </c>
      <c r="K86">
        <v>91820.22</v>
      </c>
      <c r="L86" t="s">
        <v>290</v>
      </c>
      <c r="M86" t="str">
        <f t="shared" si="1"/>
        <v>Oct</v>
      </c>
    </row>
    <row r="87" spans="1:13">
      <c r="A87" t="s">
        <v>291</v>
      </c>
      <c r="B87" t="s">
        <v>292</v>
      </c>
      <c r="C87" t="s">
        <v>61</v>
      </c>
      <c r="D87" t="s">
        <v>118</v>
      </c>
      <c r="E87" t="s">
        <v>57</v>
      </c>
      <c r="F87" t="s">
        <v>5</v>
      </c>
      <c r="G87">
        <v>5</v>
      </c>
      <c r="H87">
        <v>120000</v>
      </c>
      <c r="I87">
        <v>0.15</v>
      </c>
      <c r="J87">
        <v>510000</v>
      </c>
      <c r="K87">
        <v>71753.47</v>
      </c>
      <c r="L87" t="s">
        <v>71</v>
      </c>
      <c r="M87" t="str">
        <f t="shared" si="1"/>
        <v>Aug</v>
      </c>
    </row>
    <row r="88" spans="1:13">
      <c r="A88" t="s">
        <v>293</v>
      </c>
      <c r="B88" t="s">
        <v>294</v>
      </c>
      <c r="C88" t="s">
        <v>295</v>
      </c>
      <c r="D88" t="s">
        <v>85</v>
      </c>
      <c r="E88" t="s">
        <v>86</v>
      </c>
      <c r="F88" t="s">
        <v>6</v>
      </c>
      <c r="G88">
        <v>4</v>
      </c>
      <c r="H88">
        <v>12000</v>
      </c>
      <c r="I88">
        <v>0</v>
      </c>
      <c r="J88">
        <v>48000</v>
      </c>
      <c r="K88">
        <v>17001.47</v>
      </c>
      <c r="L88" t="s">
        <v>91</v>
      </c>
      <c r="M88" t="str">
        <f t="shared" si="1"/>
        <v>Apr</v>
      </c>
    </row>
    <row r="89" spans="1:13">
      <c r="A89" t="s">
        <v>296</v>
      </c>
      <c r="B89" t="s">
        <v>297</v>
      </c>
      <c r="C89" t="s">
        <v>298</v>
      </c>
      <c r="D89" t="s">
        <v>52</v>
      </c>
      <c r="E89" t="s">
        <v>47</v>
      </c>
      <c r="F89" t="s">
        <v>5</v>
      </c>
      <c r="G89">
        <v>3</v>
      </c>
      <c r="H89">
        <v>55000</v>
      </c>
      <c r="I89">
        <v>0.15</v>
      </c>
      <c r="J89">
        <v>140250</v>
      </c>
      <c r="K89">
        <v>49047.77</v>
      </c>
      <c r="L89" t="s">
        <v>58</v>
      </c>
      <c r="M89" t="str">
        <f t="shared" si="1"/>
        <v>Dec</v>
      </c>
    </row>
    <row r="90" spans="1:13">
      <c r="A90" t="s">
        <v>299</v>
      </c>
      <c r="B90" t="s">
        <v>300</v>
      </c>
      <c r="C90" t="s">
        <v>301</v>
      </c>
      <c r="D90" t="s">
        <v>62</v>
      </c>
      <c r="E90" t="s">
        <v>47</v>
      </c>
      <c r="F90" t="s">
        <v>4</v>
      </c>
      <c r="G90">
        <v>5</v>
      </c>
      <c r="H90">
        <v>180000</v>
      </c>
      <c r="I90">
        <v>0</v>
      </c>
      <c r="J90">
        <v>900000</v>
      </c>
      <c r="K90">
        <v>237181.93</v>
      </c>
      <c r="L90" t="s">
        <v>48</v>
      </c>
      <c r="M90" t="str">
        <f t="shared" si="1"/>
        <v>Sep</v>
      </c>
    </row>
    <row r="91" spans="1:13">
      <c r="A91" t="s">
        <v>302</v>
      </c>
      <c r="B91" t="s">
        <v>303</v>
      </c>
      <c r="C91" t="s">
        <v>114</v>
      </c>
      <c r="D91" t="s">
        <v>46</v>
      </c>
      <c r="E91" t="s">
        <v>47</v>
      </c>
      <c r="F91" t="s">
        <v>3</v>
      </c>
      <c r="G91">
        <v>2</v>
      </c>
      <c r="H91">
        <v>420000</v>
      </c>
      <c r="I91">
        <v>0.1</v>
      </c>
      <c r="J91">
        <v>756000</v>
      </c>
      <c r="K91">
        <v>137102.67000000001</v>
      </c>
      <c r="L91" t="s">
        <v>91</v>
      </c>
      <c r="M91" t="str">
        <f t="shared" si="1"/>
        <v>May</v>
      </c>
    </row>
    <row r="92" spans="1:13">
      <c r="A92" t="s">
        <v>304</v>
      </c>
      <c r="B92" t="s">
        <v>305</v>
      </c>
      <c r="C92" t="s">
        <v>242</v>
      </c>
      <c r="D92" t="s">
        <v>90</v>
      </c>
      <c r="E92" t="s">
        <v>86</v>
      </c>
      <c r="F92" t="s">
        <v>6</v>
      </c>
      <c r="G92">
        <v>5</v>
      </c>
      <c r="H92">
        <v>45000</v>
      </c>
      <c r="I92">
        <v>0.05</v>
      </c>
      <c r="J92">
        <v>213750</v>
      </c>
      <c r="K92">
        <v>64150.64</v>
      </c>
      <c r="L92" t="s">
        <v>91</v>
      </c>
      <c r="M92" t="str">
        <f t="shared" si="1"/>
        <v>Oct</v>
      </c>
    </row>
    <row r="93" spans="1:13">
      <c r="A93" t="s">
        <v>306</v>
      </c>
      <c r="B93" t="s">
        <v>307</v>
      </c>
      <c r="C93" t="s">
        <v>202</v>
      </c>
      <c r="D93" t="s">
        <v>90</v>
      </c>
      <c r="E93" t="s">
        <v>86</v>
      </c>
      <c r="F93" t="s">
        <v>6</v>
      </c>
      <c r="G93">
        <v>3</v>
      </c>
      <c r="H93">
        <v>45000</v>
      </c>
      <c r="I93">
        <v>0.05</v>
      </c>
      <c r="J93">
        <v>128250</v>
      </c>
      <c r="K93">
        <v>45596.89</v>
      </c>
      <c r="L93" t="s">
        <v>48</v>
      </c>
      <c r="M93" t="str">
        <f t="shared" si="1"/>
        <v>May</v>
      </c>
    </row>
    <row r="94" spans="1:13">
      <c r="A94" t="s">
        <v>308</v>
      </c>
      <c r="B94" t="s">
        <v>309</v>
      </c>
      <c r="C94" t="s">
        <v>310</v>
      </c>
      <c r="D94" t="s">
        <v>56</v>
      </c>
      <c r="E94" t="s">
        <v>57</v>
      </c>
      <c r="F94" t="s">
        <v>6</v>
      </c>
      <c r="G94">
        <v>2</v>
      </c>
      <c r="H94">
        <v>210000</v>
      </c>
      <c r="I94">
        <v>0</v>
      </c>
      <c r="J94">
        <v>420000</v>
      </c>
      <c r="K94">
        <v>164461.98000000001</v>
      </c>
      <c r="L94" t="s">
        <v>91</v>
      </c>
      <c r="M94" t="str">
        <f t="shared" si="1"/>
        <v>Dec</v>
      </c>
    </row>
    <row r="95" spans="1:13">
      <c r="A95" t="s">
        <v>311</v>
      </c>
      <c r="B95" t="s">
        <v>312</v>
      </c>
      <c r="C95" t="s">
        <v>173</v>
      </c>
      <c r="D95" t="s">
        <v>46</v>
      </c>
      <c r="E95" t="s">
        <v>47</v>
      </c>
      <c r="F95" t="s">
        <v>5</v>
      </c>
      <c r="G95">
        <v>3</v>
      </c>
      <c r="H95">
        <v>420000</v>
      </c>
      <c r="I95">
        <v>0</v>
      </c>
      <c r="J95">
        <v>1260000</v>
      </c>
      <c r="K95">
        <v>444228.26</v>
      </c>
      <c r="L95" t="s">
        <v>58</v>
      </c>
      <c r="M95" t="str">
        <f t="shared" si="1"/>
        <v>Apr</v>
      </c>
    </row>
    <row r="96" spans="1:13">
      <c r="A96" t="s">
        <v>313</v>
      </c>
      <c r="B96" t="s">
        <v>70</v>
      </c>
      <c r="C96" t="s">
        <v>314</v>
      </c>
      <c r="D96" t="s">
        <v>75</v>
      </c>
      <c r="E96" t="s">
        <v>57</v>
      </c>
      <c r="F96" t="s">
        <v>4</v>
      </c>
      <c r="G96">
        <v>1</v>
      </c>
      <c r="H96">
        <v>35000</v>
      </c>
      <c r="I96">
        <v>0.15</v>
      </c>
      <c r="J96">
        <v>29750</v>
      </c>
      <c r="K96">
        <v>7739.31</v>
      </c>
      <c r="L96" t="s">
        <v>48</v>
      </c>
      <c r="M96" t="str">
        <f t="shared" si="1"/>
        <v>Jan</v>
      </c>
    </row>
    <row r="97" spans="1:13">
      <c r="A97" t="s">
        <v>315</v>
      </c>
      <c r="B97" t="s">
        <v>316</v>
      </c>
      <c r="C97" t="s">
        <v>317</v>
      </c>
      <c r="D97" t="s">
        <v>129</v>
      </c>
      <c r="E97" t="s">
        <v>47</v>
      </c>
      <c r="F97" t="s">
        <v>2</v>
      </c>
      <c r="G97">
        <v>3</v>
      </c>
      <c r="H97">
        <v>650000</v>
      </c>
      <c r="I97">
        <v>0.1</v>
      </c>
      <c r="J97">
        <v>1755000</v>
      </c>
      <c r="K97">
        <v>430456.97</v>
      </c>
      <c r="L97" t="s">
        <v>48</v>
      </c>
      <c r="M97" t="str">
        <f t="shared" si="1"/>
        <v>Oct</v>
      </c>
    </row>
    <row r="98" spans="1:13">
      <c r="A98" t="s">
        <v>318</v>
      </c>
      <c r="B98" t="s">
        <v>319</v>
      </c>
      <c r="C98" t="s">
        <v>320</v>
      </c>
      <c r="D98" t="s">
        <v>75</v>
      </c>
      <c r="E98" t="s">
        <v>57</v>
      </c>
      <c r="F98" t="s">
        <v>3</v>
      </c>
      <c r="G98">
        <v>1</v>
      </c>
      <c r="H98">
        <v>35000</v>
      </c>
      <c r="I98">
        <v>0</v>
      </c>
      <c r="J98">
        <v>35000</v>
      </c>
      <c r="K98">
        <v>11963.31</v>
      </c>
      <c r="L98" t="s">
        <v>48</v>
      </c>
      <c r="M98" t="str">
        <f t="shared" si="1"/>
        <v>Sep</v>
      </c>
    </row>
    <row r="99" spans="1:13">
      <c r="A99" t="s">
        <v>321</v>
      </c>
      <c r="B99" t="s">
        <v>322</v>
      </c>
      <c r="C99" t="s">
        <v>89</v>
      </c>
      <c r="D99" t="s">
        <v>110</v>
      </c>
      <c r="E99" t="s">
        <v>47</v>
      </c>
      <c r="F99" t="s">
        <v>5</v>
      </c>
      <c r="G99">
        <v>5</v>
      </c>
      <c r="H99">
        <v>85000</v>
      </c>
      <c r="I99">
        <v>0.05</v>
      </c>
      <c r="J99">
        <v>403750</v>
      </c>
      <c r="K99">
        <v>160225.49</v>
      </c>
      <c r="L99" t="s">
        <v>71</v>
      </c>
      <c r="M99" t="str">
        <f t="shared" si="1"/>
        <v>Mar</v>
      </c>
    </row>
    <row r="100" spans="1:13">
      <c r="A100" t="s">
        <v>323</v>
      </c>
      <c r="B100" t="s">
        <v>324</v>
      </c>
      <c r="C100" t="s">
        <v>266</v>
      </c>
      <c r="D100" t="s">
        <v>52</v>
      </c>
      <c r="E100" t="s">
        <v>47</v>
      </c>
      <c r="F100" t="s">
        <v>4</v>
      </c>
      <c r="G100">
        <v>5</v>
      </c>
      <c r="H100">
        <v>55000</v>
      </c>
      <c r="I100">
        <v>0</v>
      </c>
      <c r="J100">
        <v>275000</v>
      </c>
      <c r="K100">
        <v>66154.75</v>
      </c>
      <c r="L100" t="s">
        <v>71</v>
      </c>
      <c r="M100" t="str">
        <f t="shared" si="1"/>
        <v>Nov</v>
      </c>
    </row>
    <row r="101" spans="1:13">
      <c r="A101" t="s">
        <v>325</v>
      </c>
      <c r="B101" t="s">
        <v>326</v>
      </c>
      <c r="C101" t="s">
        <v>327</v>
      </c>
      <c r="D101" t="s">
        <v>75</v>
      </c>
      <c r="E101" t="s">
        <v>57</v>
      </c>
      <c r="F101" t="s">
        <v>3</v>
      </c>
      <c r="G101">
        <v>4</v>
      </c>
      <c r="H101">
        <v>35000</v>
      </c>
      <c r="I101">
        <v>0.05</v>
      </c>
      <c r="J101">
        <v>133000</v>
      </c>
      <c r="K101">
        <v>34505.81</v>
      </c>
      <c r="L101" t="s">
        <v>48</v>
      </c>
      <c r="M101" t="str">
        <f t="shared" si="1"/>
        <v>Oct</v>
      </c>
    </row>
    <row r="102" spans="1:13">
      <c r="A102" t="s">
        <v>328</v>
      </c>
      <c r="B102" t="s">
        <v>329</v>
      </c>
      <c r="C102" t="s">
        <v>103</v>
      </c>
      <c r="D102" t="s">
        <v>118</v>
      </c>
      <c r="E102" t="s">
        <v>57</v>
      </c>
      <c r="F102" t="s">
        <v>2</v>
      </c>
      <c r="G102">
        <v>2</v>
      </c>
      <c r="H102">
        <v>120000</v>
      </c>
      <c r="I102">
        <v>0.05</v>
      </c>
      <c r="J102">
        <v>228000</v>
      </c>
      <c r="K102">
        <v>53204.26</v>
      </c>
      <c r="L102" t="s">
        <v>58</v>
      </c>
      <c r="M102" t="str">
        <f t="shared" si="1"/>
        <v>Nov</v>
      </c>
    </row>
    <row r="103" spans="1:13">
      <c r="A103" t="s">
        <v>330</v>
      </c>
      <c r="B103" t="s">
        <v>186</v>
      </c>
      <c r="C103" t="s">
        <v>199</v>
      </c>
      <c r="D103" t="s">
        <v>56</v>
      </c>
      <c r="E103" t="s">
        <v>57</v>
      </c>
      <c r="F103" t="s">
        <v>6</v>
      </c>
      <c r="G103">
        <v>2</v>
      </c>
      <c r="H103">
        <v>210000</v>
      </c>
      <c r="I103">
        <v>0</v>
      </c>
      <c r="J103">
        <v>420000</v>
      </c>
      <c r="K103">
        <v>142674.10999999999</v>
      </c>
      <c r="L103" t="s">
        <v>48</v>
      </c>
      <c r="M103" t="str">
        <f t="shared" si="1"/>
        <v>Feb</v>
      </c>
    </row>
    <row r="104" spans="1:13">
      <c r="A104" t="s">
        <v>331</v>
      </c>
      <c r="B104" t="s">
        <v>332</v>
      </c>
      <c r="C104" t="s">
        <v>320</v>
      </c>
      <c r="D104" t="s">
        <v>118</v>
      </c>
      <c r="E104" t="s">
        <v>57</v>
      </c>
      <c r="F104" t="s">
        <v>2</v>
      </c>
      <c r="G104">
        <v>3</v>
      </c>
      <c r="H104">
        <v>120000</v>
      </c>
      <c r="I104">
        <v>0.2</v>
      </c>
      <c r="J104">
        <v>288000</v>
      </c>
      <c r="K104">
        <v>6446.23</v>
      </c>
      <c r="L104" t="s">
        <v>91</v>
      </c>
      <c r="M104" t="str">
        <f t="shared" si="1"/>
        <v>May</v>
      </c>
    </row>
    <row r="105" spans="1:13">
      <c r="A105" t="s">
        <v>333</v>
      </c>
      <c r="B105" t="s">
        <v>334</v>
      </c>
      <c r="C105" t="s">
        <v>335</v>
      </c>
      <c r="D105" t="s">
        <v>52</v>
      </c>
      <c r="E105" t="s">
        <v>47</v>
      </c>
      <c r="F105" t="s">
        <v>2</v>
      </c>
      <c r="G105">
        <v>2</v>
      </c>
      <c r="H105">
        <v>55000</v>
      </c>
      <c r="I105">
        <v>0.1</v>
      </c>
      <c r="J105">
        <v>99000</v>
      </c>
      <c r="K105">
        <v>35091.14</v>
      </c>
      <c r="L105" t="s">
        <v>91</v>
      </c>
      <c r="M105" t="str">
        <f t="shared" si="1"/>
        <v>Dec</v>
      </c>
    </row>
    <row r="106" spans="1:13">
      <c r="A106" t="s">
        <v>336</v>
      </c>
      <c r="B106" t="s">
        <v>127</v>
      </c>
      <c r="C106" t="s">
        <v>84</v>
      </c>
      <c r="D106" t="s">
        <v>110</v>
      </c>
      <c r="E106" t="s">
        <v>47</v>
      </c>
      <c r="F106" t="s">
        <v>6</v>
      </c>
      <c r="G106">
        <v>1</v>
      </c>
      <c r="H106">
        <v>85000</v>
      </c>
      <c r="I106">
        <v>0</v>
      </c>
      <c r="J106">
        <v>85000</v>
      </c>
      <c r="K106">
        <v>20059.169999999998</v>
      </c>
      <c r="L106" t="s">
        <v>71</v>
      </c>
      <c r="M106" t="str">
        <f t="shared" si="1"/>
        <v>Feb</v>
      </c>
    </row>
    <row r="107" spans="1:13">
      <c r="A107" t="s">
        <v>337</v>
      </c>
      <c r="B107" t="s">
        <v>137</v>
      </c>
      <c r="C107" t="s">
        <v>338</v>
      </c>
      <c r="D107" t="s">
        <v>46</v>
      </c>
      <c r="E107" t="s">
        <v>47</v>
      </c>
      <c r="F107" t="s">
        <v>3</v>
      </c>
      <c r="G107">
        <v>3</v>
      </c>
      <c r="H107">
        <v>420000</v>
      </c>
      <c r="I107">
        <v>0.2</v>
      </c>
      <c r="J107">
        <v>1008000</v>
      </c>
      <c r="K107">
        <v>178066.6</v>
      </c>
      <c r="L107" t="s">
        <v>71</v>
      </c>
      <c r="M107" t="str">
        <f t="shared" si="1"/>
        <v>Aug</v>
      </c>
    </row>
    <row r="108" spans="1:13">
      <c r="A108" t="s">
        <v>339</v>
      </c>
      <c r="B108" t="s">
        <v>159</v>
      </c>
      <c r="C108" t="s">
        <v>340</v>
      </c>
      <c r="D108" t="s">
        <v>90</v>
      </c>
      <c r="E108" t="s">
        <v>86</v>
      </c>
      <c r="F108" t="s">
        <v>3</v>
      </c>
      <c r="G108">
        <v>5</v>
      </c>
      <c r="H108">
        <v>45000</v>
      </c>
      <c r="I108">
        <v>0</v>
      </c>
      <c r="J108">
        <v>225000</v>
      </c>
      <c r="K108">
        <v>47217.56</v>
      </c>
      <c r="L108" t="s">
        <v>91</v>
      </c>
      <c r="M108" t="str">
        <f t="shared" si="1"/>
        <v>Feb</v>
      </c>
    </row>
    <row r="109" spans="1:13">
      <c r="A109" t="s">
        <v>341</v>
      </c>
      <c r="B109" t="s">
        <v>342</v>
      </c>
      <c r="C109" t="s">
        <v>252</v>
      </c>
      <c r="D109" t="s">
        <v>129</v>
      </c>
      <c r="E109" t="s">
        <v>47</v>
      </c>
      <c r="F109" t="s">
        <v>3</v>
      </c>
      <c r="G109">
        <v>2</v>
      </c>
      <c r="H109">
        <v>650000</v>
      </c>
      <c r="I109">
        <v>0.2</v>
      </c>
      <c r="J109">
        <v>1040000</v>
      </c>
      <c r="K109">
        <v>31578.53</v>
      </c>
      <c r="L109" t="s">
        <v>48</v>
      </c>
      <c r="M109" t="str">
        <f t="shared" si="1"/>
        <v>Feb</v>
      </c>
    </row>
    <row r="110" spans="1:13">
      <c r="A110" t="s">
        <v>343</v>
      </c>
      <c r="B110" t="s">
        <v>213</v>
      </c>
      <c r="C110" t="s">
        <v>344</v>
      </c>
      <c r="D110" t="s">
        <v>75</v>
      </c>
      <c r="E110" t="s">
        <v>57</v>
      </c>
      <c r="F110" t="s">
        <v>6</v>
      </c>
      <c r="G110">
        <v>1</v>
      </c>
      <c r="H110">
        <v>35000</v>
      </c>
      <c r="I110">
        <v>0</v>
      </c>
      <c r="J110">
        <v>35000</v>
      </c>
      <c r="K110">
        <v>11303.77</v>
      </c>
      <c r="L110" t="s">
        <v>58</v>
      </c>
      <c r="M110" t="str">
        <f t="shared" si="1"/>
        <v>Oct</v>
      </c>
    </row>
    <row r="111" spans="1:13">
      <c r="A111" t="s">
        <v>345</v>
      </c>
      <c r="B111" t="s">
        <v>346</v>
      </c>
      <c r="C111" t="s">
        <v>193</v>
      </c>
      <c r="D111" t="s">
        <v>52</v>
      </c>
      <c r="E111" t="s">
        <v>47</v>
      </c>
      <c r="F111" t="s">
        <v>6</v>
      </c>
      <c r="G111">
        <v>4</v>
      </c>
      <c r="H111">
        <v>55000</v>
      </c>
      <c r="I111">
        <v>0</v>
      </c>
      <c r="J111">
        <v>220000</v>
      </c>
      <c r="K111">
        <v>71081.38</v>
      </c>
      <c r="L111" t="s">
        <v>91</v>
      </c>
      <c r="M111" t="str">
        <f t="shared" si="1"/>
        <v>Aug</v>
      </c>
    </row>
    <row r="112" spans="1:13">
      <c r="A112" t="s">
        <v>347</v>
      </c>
      <c r="B112" t="s">
        <v>348</v>
      </c>
      <c r="C112" t="s">
        <v>349</v>
      </c>
      <c r="D112" t="s">
        <v>46</v>
      </c>
      <c r="E112" t="s">
        <v>47</v>
      </c>
      <c r="F112" t="s">
        <v>4</v>
      </c>
      <c r="G112">
        <v>3</v>
      </c>
      <c r="H112">
        <v>420000</v>
      </c>
      <c r="I112">
        <v>0.1</v>
      </c>
      <c r="J112">
        <v>1134000</v>
      </c>
      <c r="K112">
        <v>205012.22</v>
      </c>
      <c r="L112" t="s">
        <v>48</v>
      </c>
      <c r="M112" t="str">
        <f t="shared" si="1"/>
        <v>Mar</v>
      </c>
    </row>
    <row r="113" spans="1:13">
      <c r="A113" t="s">
        <v>350</v>
      </c>
      <c r="B113" t="s">
        <v>351</v>
      </c>
      <c r="C113" t="s">
        <v>352</v>
      </c>
      <c r="D113" t="s">
        <v>90</v>
      </c>
      <c r="E113" t="s">
        <v>86</v>
      </c>
      <c r="F113" t="s">
        <v>3</v>
      </c>
      <c r="G113">
        <v>3</v>
      </c>
      <c r="H113">
        <v>45000</v>
      </c>
      <c r="I113">
        <v>0.05</v>
      </c>
      <c r="J113">
        <v>128250</v>
      </c>
      <c r="K113">
        <v>42216.67</v>
      </c>
      <c r="L113" t="s">
        <v>48</v>
      </c>
      <c r="M113" t="str">
        <f t="shared" si="1"/>
        <v>Feb</v>
      </c>
    </row>
    <row r="114" spans="1:13">
      <c r="A114" t="s">
        <v>353</v>
      </c>
      <c r="B114" t="s">
        <v>354</v>
      </c>
      <c r="C114" t="s">
        <v>68</v>
      </c>
      <c r="D114" t="s">
        <v>56</v>
      </c>
      <c r="E114" t="s">
        <v>57</v>
      </c>
      <c r="F114" t="s">
        <v>3</v>
      </c>
      <c r="G114">
        <v>4</v>
      </c>
      <c r="H114">
        <v>210000</v>
      </c>
      <c r="I114">
        <v>0</v>
      </c>
      <c r="J114">
        <v>840000</v>
      </c>
      <c r="K114">
        <v>335456.28000000003</v>
      </c>
      <c r="L114" t="s">
        <v>71</v>
      </c>
      <c r="M114" t="str">
        <f t="shared" si="1"/>
        <v>Aug</v>
      </c>
    </row>
    <row r="115" spans="1:13">
      <c r="A115" t="s">
        <v>355</v>
      </c>
      <c r="B115" t="s">
        <v>181</v>
      </c>
      <c r="C115" t="s">
        <v>349</v>
      </c>
      <c r="D115" t="s">
        <v>90</v>
      </c>
      <c r="E115" t="s">
        <v>86</v>
      </c>
      <c r="F115" t="s">
        <v>4</v>
      </c>
      <c r="G115">
        <v>2</v>
      </c>
      <c r="H115">
        <v>45000</v>
      </c>
      <c r="I115">
        <v>0.05</v>
      </c>
      <c r="J115">
        <v>85500</v>
      </c>
      <c r="K115">
        <v>22653.96</v>
      </c>
      <c r="L115" t="s">
        <v>71</v>
      </c>
      <c r="M115" t="str">
        <f t="shared" si="1"/>
        <v>Jan</v>
      </c>
    </row>
    <row r="116" spans="1:13">
      <c r="A116" t="s">
        <v>356</v>
      </c>
      <c r="B116" t="s">
        <v>357</v>
      </c>
      <c r="C116" t="s">
        <v>358</v>
      </c>
      <c r="D116" t="s">
        <v>46</v>
      </c>
      <c r="E116" t="s">
        <v>47</v>
      </c>
      <c r="F116" t="s">
        <v>3</v>
      </c>
      <c r="G116">
        <v>5</v>
      </c>
      <c r="H116">
        <v>420000</v>
      </c>
      <c r="I116">
        <v>0</v>
      </c>
      <c r="J116">
        <v>2100000</v>
      </c>
      <c r="K116">
        <v>542553.14</v>
      </c>
      <c r="L116" t="s">
        <v>48</v>
      </c>
      <c r="M116" t="str">
        <f t="shared" si="1"/>
        <v>Jan</v>
      </c>
    </row>
    <row r="117" spans="1:13">
      <c r="A117" t="s">
        <v>359</v>
      </c>
      <c r="B117" t="s">
        <v>360</v>
      </c>
      <c r="C117" t="s">
        <v>276</v>
      </c>
      <c r="D117" t="s">
        <v>56</v>
      </c>
      <c r="E117" t="s">
        <v>57</v>
      </c>
      <c r="F117" t="s">
        <v>4</v>
      </c>
      <c r="G117">
        <v>1</v>
      </c>
      <c r="H117">
        <v>210000</v>
      </c>
      <c r="I117">
        <v>0</v>
      </c>
      <c r="J117">
        <v>210000</v>
      </c>
      <c r="K117">
        <v>38239.019999999997</v>
      </c>
      <c r="L117" t="s">
        <v>48</v>
      </c>
      <c r="M117" t="str">
        <f t="shared" si="1"/>
        <v>Jul</v>
      </c>
    </row>
    <row r="118" spans="1:13">
      <c r="A118" t="s">
        <v>361</v>
      </c>
      <c r="B118" t="s">
        <v>362</v>
      </c>
      <c r="C118" t="s">
        <v>249</v>
      </c>
      <c r="D118" t="s">
        <v>110</v>
      </c>
      <c r="E118" t="s">
        <v>47</v>
      </c>
      <c r="F118" t="s">
        <v>4</v>
      </c>
      <c r="G118">
        <v>3</v>
      </c>
      <c r="H118">
        <v>85000</v>
      </c>
      <c r="I118">
        <v>0.15</v>
      </c>
      <c r="J118">
        <v>216750</v>
      </c>
      <c r="K118">
        <v>27932.41</v>
      </c>
      <c r="L118" t="s">
        <v>71</v>
      </c>
      <c r="M118" t="str">
        <f t="shared" si="1"/>
        <v>Sep</v>
      </c>
    </row>
    <row r="119" spans="1:13">
      <c r="A119" t="s">
        <v>363</v>
      </c>
      <c r="B119" t="s">
        <v>364</v>
      </c>
      <c r="C119" t="s">
        <v>365</v>
      </c>
      <c r="D119" t="s">
        <v>118</v>
      </c>
      <c r="E119" t="s">
        <v>57</v>
      </c>
      <c r="F119" t="s">
        <v>2</v>
      </c>
      <c r="G119">
        <v>5</v>
      </c>
      <c r="H119">
        <v>120000</v>
      </c>
      <c r="I119">
        <v>0</v>
      </c>
      <c r="J119">
        <v>600000</v>
      </c>
      <c r="K119">
        <v>207859.07</v>
      </c>
      <c r="L119" t="s">
        <v>48</v>
      </c>
      <c r="M119" t="str">
        <f t="shared" si="1"/>
        <v>Aug</v>
      </c>
    </row>
    <row r="120" spans="1:13">
      <c r="A120" t="s">
        <v>366</v>
      </c>
      <c r="B120" t="s">
        <v>233</v>
      </c>
      <c r="C120" t="s">
        <v>367</v>
      </c>
      <c r="D120" t="s">
        <v>75</v>
      </c>
      <c r="E120" t="s">
        <v>57</v>
      </c>
      <c r="F120" t="s">
        <v>6</v>
      </c>
      <c r="G120">
        <v>3</v>
      </c>
      <c r="H120">
        <v>35000</v>
      </c>
      <c r="I120">
        <v>0.15</v>
      </c>
      <c r="J120">
        <v>89250</v>
      </c>
      <c r="K120">
        <v>23925.66</v>
      </c>
      <c r="L120" t="s">
        <v>91</v>
      </c>
      <c r="M120" t="str">
        <f t="shared" si="1"/>
        <v>Aug</v>
      </c>
    </row>
    <row r="121" spans="1:13">
      <c r="A121" t="s">
        <v>368</v>
      </c>
      <c r="B121" t="s">
        <v>278</v>
      </c>
      <c r="C121" t="s">
        <v>310</v>
      </c>
      <c r="D121" t="s">
        <v>52</v>
      </c>
      <c r="E121" t="s">
        <v>47</v>
      </c>
      <c r="F121" t="s">
        <v>6</v>
      </c>
      <c r="G121">
        <v>4</v>
      </c>
      <c r="H121">
        <v>55000</v>
      </c>
      <c r="I121">
        <v>0</v>
      </c>
      <c r="J121">
        <v>220000</v>
      </c>
      <c r="K121">
        <v>72475.08</v>
      </c>
      <c r="L121" t="s">
        <v>91</v>
      </c>
      <c r="M121" t="str">
        <f t="shared" si="1"/>
        <v>Oct</v>
      </c>
    </row>
    <row r="122" spans="1:13">
      <c r="A122" t="s">
        <v>369</v>
      </c>
      <c r="B122" t="s">
        <v>370</v>
      </c>
      <c r="C122" t="s">
        <v>298</v>
      </c>
      <c r="D122" t="s">
        <v>56</v>
      </c>
      <c r="E122" t="s">
        <v>57</v>
      </c>
      <c r="F122" t="s">
        <v>2</v>
      </c>
      <c r="G122">
        <v>4</v>
      </c>
      <c r="H122">
        <v>210000</v>
      </c>
      <c r="I122">
        <v>0.1</v>
      </c>
      <c r="J122">
        <v>756000</v>
      </c>
      <c r="K122">
        <v>82429.11</v>
      </c>
      <c r="L122" t="s">
        <v>71</v>
      </c>
      <c r="M122" t="str">
        <f t="shared" si="1"/>
        <v>Oct</v>
      </c>
    </row>
    <row r="123" spans="1:13">
      <c r="A123" t="s">
        <v>371</v>
      </c>
      <c r="B123" t="s">
        <v>372</v>
      </c>
      <c r="C123" t="s">
        <v>266</v>
      </c>
      <c r="D123" t="s">
        <v>118</v>
      </c>
      <c r="E123" t="s">
        <v>57</v>
      </c>
      <c r="F123" t="s">
        <v>4</v>
      </c>
      <c r="G123">
        <v>1</v>
      </c>
      <c r="H123">
        <v>120000</v>
      </c>
      <c r="I123">
        <v>0.05</v>
      </c>
      <c r="J123">
        <v>114000</v>
      </c>
      <c r="K123">
        <v>23871.55</v>
      </c>
      <c r="L123" t="s">
        <v>58</v>
      </c>
      <c r="M123" t="str">
        <f t="shared" si="1"/>
        <v>Jul</v>
      </c>
    </row>
    <row r="124" spans="1:13">
      <c r="A124" t="s">
        <v>373</v>
      </c>
      <c r="B124" t="s">
        <v>374</v>
      </c>
      <c r="C124" t="s">
        <v>375</v>
      </c>
      <c r="D124" t="s">
        <v>90</v>
      </c>
      <c r="E124" t="s">
        <v>86</v>
      </c>
      <c r="F124" t="s">
        <v>5</v>
      </c>
      <c r="G124">
        <v>2</v>
      </c>
      <c r="H124">
        <v>45000</v>
      </c>
      <c r="I124">
        <v>0.15</v>
      </c>
      <c r="J124">
        <v>76500</v>
      </c>
      <c r="K124">
        <v>3541.91</v>
      </c>
      <c r="L124" t="s">
        <v>71</v>
      </c>
      <c r="M124" t="str">
        <f t="shared" si="1"/>
        <v>Jan</v>
      </c>
    </row>
    <row r="125" spans="1:13">
      <c r="A125" t="s">
        <v>376</v>
      </c>
      <c r="B125" t="s">
        <v>377</v>
      </c>
      <c r="C125" t="s">
        <v>193</v>
      </c>
      <c r="D125" t="s">
        <v>46</v>
      </c>
      <c r="E125" t="s">
        <v>47</v>
      </c>
      <c r="F125" t="s">
        <v>2</v>
      </c>
      <c r="G125">
        <v>4</v>
      </c>
      <c r="H125">
        <v>420000</v>
      </c>
      <c r="I125">
        <v>0</v>
      </c>
      <c r="J125">
        <v>1680000</v>
      </c>
      <c r="K125">
        <v>428299.48</v>
      </c>
      <c r="L125" t="s">
        <v>48</v>
      </c>
      <c r="M125" t="str">
        <f t="shared" si="1"/>
        <v>Sep</v>
      </c>
    </row>
    <row r="126" spans="1:13">
      <c r="A126" t="s">
        <v>378</v>
      </c>
      <c r="B126" t="s">
        <v>152</v>
      </c>
      <c r="C126" t="s">
        <v>161</v>
      </c>
      <c r="D126" t="s">
        <v>90</v>
      </c>
      <c r="E126" t="s">
        <v>86</v>
      </c>
      <c r="F126" t="s">
        <v>6</v>
      </c>
      <c r="G126">
        <v>3</v>
      </c>
      <c r="H126">
        <v>45000</v>
      </c>
      <c r="I126">
        <v>0.15</v>
      </c>
      <c r="J126">
        <v>114750</v>
      </c>
      <c r="K126">
        <v>15250.92</v>
      </c>
      <c r="L126" t="s">
        <v>71</v>
      </c>
      <c r="M126" t="str">
        <f t="shared" si="1"/>
        <v>May</v>
      </c>
    </row>
    <row r="127" spans="1:13">
      <c r="A127" t="s">
        <v>379</v>
      </c>
      <c r="B127" t="s">
        <v>329</v>
      </c>
      <c r="C127" t="s">
        <v>117</v>
      </c>
      <c r="D127" t="s">
        <v>85</v>
      </c>
      <c r="E127" t="s">
        <v>86</v>
      </c>
      <c r="F127" t="s">
        <v>2</v>
      </c>
      <c r="G127">
        <v>4</v>
      </c>
      <c r="H127">
        <v>12000</v>
      </c>
      <c r="I127">
        <v>0.15</v>
      </c>
      <c r="J127">
        <v>40800</v>
      </c>
      <c r="K127">
        <v>13934.75</v>
      </c>
      <c r="L127" t="s">
        <v>91</v>
      </c>
      <c r="M127" t="str">
        <f t="shared" si="1"/>
        <v>Nov</v>
      </c>
    </row>
    <row r="128" spans="1:13">
      <c r="A128" t="s">
        <v>380</v>
      </c>
      <c r="B128" t="s">
        <v>342</v>
      </c>
      <c r="D128" t="s">
        <v>118</v>
      </c>
      <c r="E128" t="s">
        <v>57</v>
      </c>
      <c r="F128" t="s">
        <v>4</v>
      </c>
      <c r="G128">
        <v>4</v>
      </c>
      <c r="H128">
        <v>120000</v>
      </c>
      <c r="I128">
        <v>0</v>
      </c>
      <c r="J128">
        <v>480000</v>
      </c>
      <c r="K128">
        <v>117456.09</v>
      </c>
      <c r="L128" t="s">
        <v>58</v>
      </c>
      <c r="M128" t="str">
        <f t="shared" si="1"/>
        <v>Feb</v>
      </c>
    </row>
    <row r="129" spans="1:13">
      <c r="A129" t="s">
        <v>381</v>
      </c>
      <c r="B129" t="s">
        <v>357</v>
      </c>
      <c r="C129" t="s">
        <v>219</v>
      </c>
      <c r="D129" t="s">
        <v>75</v>
      </c>
      <c r="E129" t="s">
        <v>57</v>
      </c>
      <c r="F129" t="s">
        <v>6</v>
      </c>
      <c r="G129">
        <v>1</v>
      </c>
      <c r="H129">
        <v>35000</v>
      </c>
      <c r="I129">
        <v>0.05</v>
      </c>
      <c r="J129">
        <v>33250</v>
      </c>
      <c r="K129">
        <v>6476.44</v>
      </c>
      <c r="L129" t="s">
        <v>91</v>
      </c>
      <c r="M129" t="str">
        <f t="shared" si="1"/>
        <v>Jan</v>
      </c>
    </row>
    <row r="130" spans="1:13">
      <c r="A130" t="s">
        <v>382</v>
      </c>
      <c r="B130" t="s">
        <v>383</v>
      </c>
      <c r="C130" t="s">
        <v>263</v>
      </c>
      <c r="D130" t="s">
        <v>62</v>
      </c>
      <c r="E130" t="s">
        <v>47</v>
      </c>
      <c r="F130" t="s">
        <v>2</v>
      </c>
      <c r="G130">
        <v>2</v>
      </c>
      <c r="H130">
        <v>180000</v>
      </c>
      <c r="I130">
        <v>0.15</v>
      </c>
      <c r="J130">
        <v>306000</v>
      </c>
      <c r="K130">
        <v>67948.570000000007</v>
      </c>
      <c r="L130" t="s">
        <v>58</v>
      </c>
      <c r="M130" t="str">
        <f t="shared" si="1"/>
        <v>Mar</v>
      </c>
    </row>
    <row r="131" spans="1:13">
      <c r="A131" t="s">
        <v>384</v>
      </c>
      <c r="B131" t="s">
        <v>385</v>
      </c>
      <c r="C131" t="s">
        <v>386</v>
      </c>
      <c r="D131" t="s">
        <v>46</v>
      </c>
      <c r="E131" t="s">
        <v>47</v>
      </c>
      <c r="F131" t="s">
        <v>3</v>
      </c>
      <c r="G131">
        <v>4</v>
      </c>
      <c r="H131">
        <v>420000</v>
      </c>
      <c r="I131">
        <v>0.15</v>
      </c>
      <c r="J131">
        <v>1428000</v>
      </c>
      <c r="K131">
        <v>194130.15</v>
      </c>
      <c r="L131" t="s">
        <v>58</v>
      </c>
      <c r="M131" t="str">
        <f t="shared" ref="M131:M194" si="2">TEXT(B131,"mmm")</f>
        <v>Nov</v>
      </c>
    </row>
    <row r="132" spans="1:13">
      <c r="A132" t="s">
        <v>387</v>
      </c>
      <c r="B132" t="s">
        <v>354</v>
      </c>
      <c r="C132" t="s">
        <v>388</v>
      </c>
      <c r="D132" t="s">
        <v>118</v>
      </c>
      <c r="E132" t="s">
        <v>57</v>
      </c>
      <c r="F132" t="s">
        <v>4</v>
      </c>
      <c r="G132">
        <v>3</v>
      </c>
      <c r="H132">
        <v>120000</v>
      </c>
      <c r="I132">
        <v>0.1</v>
      </c>
      <c r="J132">
        <v>324000</v>
      </c>
      <c r="K132">
        <v>101182.24</v>
      </c>
      <c r="L132" t="s">
        <v>91</v>
      </c>
      <c r="M132" t="str">
        <f t="shared" si="2"/>
        <v>Aug</v>
      </c>
    </row>
    <row r="133" spans="1:13">
      <c r="A133" t="s">
        <v>389</v>
      </c>
      <c r="B133" t="s">
        <v>390</v>
      </c>
      <c r="C133" t="s">
        <v>106</v>
      </c>
      <c r="D133" t="s">
        <v>56</v>
      </c>
      <c r="E133" t="s">
        <v>57</v>
      </c>
      <c r="F133" t="s">
        <v>4</v>
      </c>
      <c r="G133">
        <v>1</v>
      </c>
      <c r="H133">
        <v>210000</v>
      </c>
      <c r="I133">
        <v>0.1</v>
      </c>
      <c r="J133">
        <v>189000</v>
      </c>
      <c r="K133">
        <v>19905.14</v>
      </c>
      <c r="L133" t="s">
        <v>91</v>
      </c>
      <c r="M133" t="str">
        <f t="shared" si="2"/>
        <v>Mar</v>
      </c>
    </row>
    <row r="134" spans="1:13">
      <c r="A134" t="s">
        <v>391</v>
      </c>
      <c r="B134" t="s">
        <v>392</v>
      </c>
      <c r="C134" t="s">
        <v>176</v>
      </c>
      <c r="D134" t="s">
        <v>90</v>
      </c>
      <c r="E134" t="s">
        <v>86</v>
      </c>
      <c r="F134" t="s">
        <v>2</v>
      </c>
      <c r="G134">
        <v>2</v>
      </c>
      <c r="H134">
        <v>45000</v>
      </c>
      <c r="I134">
        <v>0.1</v>
      </c>
      <c r="J134">
        <v>81000</v>
      </c>
      <c r="K134">
        <v>10763.95</v>
      </c>
      <c r="L134" t="s">
        <v>71</v>
      </c>
      <c r="M134" t="str">
        <f t="shared" si="2"/>
        <v>Jun</v>
      </c>
    </row>
    <row r="135" spans="1:13">
      <c r="A135" t="s">
        <v>393</v>
      </c>
      <c r="B135" t="s">
        <v>394</v>
      </c>
      <c r="C135" t="s">
        <v>219</v>
      </c>
      <c r="D135" t="s">
        <v>52</v>
      </c>
      <c r="E135" t="s">
        <v>47</v>
      </c>
      <c r="F135" t="s">
        <v>5</v>
      </c>
      <c r="G135">
        <v>5</v>
      </c>
      <c r="H135">
        <v>55000</v>
      </c>
      <c r="I135">
        <v>0.05</v>
      </c>
      <c r="J135">
        <v>261250</v>
      </c>
      <c r="K135">
        <v>36292.620000000003</v>
      </c>
      <c r="L135" t="s">
        <v>71</v>
      </c>
      <c r="M135" t="str">
        <f t="shared" si="2"/>
        <v>Jul</v>
      </c>
    </row>
    <row r="136" spans="1:13">
      <c r="A136" t="s">
        <v>395</v>
      </c>
      <c r="B136" t="s">
        <v>396</v>
      </c>
      <c r="C136" t="s">
        <v>397</v>
      </c>
      <c r="D136" t="s">
        <v>75</v>
      </c>
      <c r="E136" t="s">
        <v>57</v>
      </c>
      <c r="F136" t="s">
        <v>3</v>
      </c>
      <c r="G136">
        <v>5</v>
      </c>
      <c r="H136">
        <v>35000</v>
      </c>
      <c r="I136">
        <v>0.2</v>
      </c>
      <c r="J136">
        <v>140000</v>
      </c>
      <c r="K136">
        <v>6974.78</v>
      </c>
      <c r="L136" t="s">
        <v>71</v>
      </c>
      <c r="M136" t="str">
        <f t="shared" si="2"/>
        <v>Jan</v>
      </c>
    </row>
    <row r="137" spans="1:13">
      <c r="A137" t="s">
        <v>398</v>
      </c>
      <c r="B137" t="s">
        <v>399</v>
      </c>
      <c r="C137" t="s">
        <v>298</v>
      </c>
      <c r="D137" t="s">
        <v>75</v>
      </c>
      <c r="E137" t="s">
        <v>57</v>
      </c>
      <c r="F137" t="s">
        <v>3</v>
      </c>
      <c r="G137">
        <v>5</v>
      </c>
      <c r="H137">
        <v>35000</v>
      </c>
      <c r="I137">
        <v>0.05</v>
      </c>
      <c r="J137">
        <v>166250</v>
      </c>
      <c r="K137">
        <v>59652.04</v>
      </c>
      <c r="L137" t="s">
        <v>91</v>
      </c>
      <c r="M137" t="str">
        <f t="shared" si="2"/>
        <v>Apr</v>
      </c>
    </row>
    <row r="138" spans="1:13">
      <c r="A138" t="s">
        <v>400</v>
      </c>
      <c r="B138" t="s">
        <v>401</v>
      </c>
      <c r="C138" t="s">
        <v>358</v>
      </c>
      <c r="D138" t="s">
        <v>110</v>
      </c>
      <c r="E138" t="s">
        <v>47</v>
      </c>
      <c r="F138" t="s">
        <v>4</v>
      </c>
      <c r="G138">
        <v>1</v>
      </c>
      <c r="H138">
        <v>85000</v>
      </c>
      <c r="I138">
        <v>0.2</v>
      </c>
      <c r="J138">
        <v>68000</v>
      </c>
      <c r="K138">
        <v>6416.48</v>
      </c>
      <c r="L138" t="s">
        <v>48</v>
      </c>
      <c r="M138" t="str">
        <f t="shared" si="2"/>
        <v>Nov</v>
      </c>
    </row>
    <row r="139" spans="1:13">
      <c r="A139" t="s">
        <v>402</v>
      </c>
      <c r="B139" t="s">
        <v>403</v>
      </c>
      <c r="C139" t="s">
        <v>404</v>
      </c>
      <c r="D139" t="s">
        <v>52</v>
      </c>
      <c r="E139" t="s">
        <v>47</v>
      </c>
      <c r="F139" t="s">
        <v>4</v>
      </c>
      <c r="G139">
        <v>2</v>
      </c>
      <c r="H139">
        <v>55000</v>
      </c>
      <c r="I139">
        <v>0</v>
      </c>
      <c r="J139">
        <v>110000</v>
      </c>
      <c r="K139">
        <v>22484.05</v>
      </c>
      <c r="L139" t="s">
        <v>58</v>
      </c>
      <c r="M139" t="str">
        <f t="shared" si="2"/>
        <v>Jul</v>
      </c>
    </row>
    <row r="140" spans="1:13">
      <c r="A140" t="s">
        <v>405</v>
      </c>
      <c r="B140" t="s">
        <v>406</v>
      </c>
      <c r="C140" t="s">
        <v>338</v>
      </c>
      <c r="D140" t="s">
        <v>118</v>
      </c>
      <c r="E140" t="s">
        <v>57</v>
      </c>
      <c r="F140" t="s">
        <v>2</v>
      </c>
      <c r="G140">
        <v>5</v>
      </c>
      <c r="H140">
        <v>120000</v>
      </c>
      <c r="I140">
        <v>0.05</v>
      </c>
      <c r="J140">
        <v>570000</v>
      </c>
      <c r="K140">
        <v>154001.92000000001</v>
      </c>
      <c r="L140" t="s">
        <v>91</v>
      </c>
      <c r="M140" t="str">
        <f t="shared" si="2"/>
        <v>Mar</v>
      </c>
    </row>
    <row r="141" spans="1:13">
      <c r="A141" t="s">
        <v>407</v>
      </c>
      <c r="B141" t="s">
        <v>155</v>
      </c>
      <c r="C141" t="s">
        <v>144</v>
      </c>
      <c r="D141" t="s">
        <v>90</v>
      </c>
      <c r="E141" t="s">
        <v>86</v>
      </c>
      <c r="F141" t="s">
        <v>2</v>
      </c>
      <c r="G141">
        <v>3</v>
      </c>
      <c r="H141">
        <v>45000</v>
      </c>
      <c r="I141">
        <v>0</v>
      </c>
      <c r="J141">
        <v>135000</v>
      </c>
      <c r="K141">
        <v>43679.32</v>
      </c>
      <c r="L141" t="s">
        <v>58</v>
      </c>
      <c r="M141" t="str">
        <f t="shared" si="2"/>
        <v>Jun</v>
      </c>
    </row>
    <row r="142" spans="1:13">
      <c r="A142" t="s">
        <v>408</v>
      </c>
      <c r="B142" t="s">
        <v>238</v>
      </c>
      <c r="C142" t="s">
        <v>409</v>
      </c>
      <c r="D142" t="s">
        <v>62</v>
      </c>
      <c r="E142" t="s">
        <v>47</v>
      </c>
      <c r="F142" t="s">
        <v>6</v>
      </c>
      <c r="G142">
        <v>3</v>
      </c>
      <c r="H142">
        <v>180000</v>
      </c>
      <c r="I142">
        <v>0</v>
      </c>
      <c r="J142">
        <v>540000</v>
      </c>
      <c r="K142">
        <v>127718.57</v>
      </c>
      <c r="L142" t="s">
        <v>48</v>
      </c>
      <c r="M142" t="str">
        <f t="shared" si="2"/>
        <v>Oct</v>
      </c>
    </row>
    <row r="143" spans="1:13">
      <c r="A143" t="s">
        <v>410</v>
      </c>
      <c r="B143" t="s">
        <v>411</v>
      </c>
      <c r="C143" t="s">
        <v>123</v>
      </c>
      <c r="D143" t="s">
        <v>90</v>
      </c>
      <c r="E143" t="s">
        <v>86</v>
      </c>
      <c r="F143" t="s">
        <v>5</v>
      </c>
      <c r="G143">
        <v>3</v>
      </c>
      <c r="H143">
        <v>45000</v>
      </c>
      <c r="I143">
        <v>0.15</v>
      </c>
      <c r="J143">
        <v>114750</v>
      </c>
      <c r="K143">
        <v>26611.62</v>
      </c>
      <c r="L143" t="s">
        <v>58</v>
      </c>
      <c r="M143" t="str">
        <f t="shared" si="2"/>
        <v>Jul</v>
      </c>
    </row>
    <row r="144" spans="1:13">
      <c r="A144" t="s">
        <v>412</v>
      </c>
      <c r="B144" t="s">
        <v>44</v>
      </c>
      <c r="C144" t="s">
        <v>236</v>
      </c>
      <c r="D144" t="s">
        <v>90</v>
      </c>
      <c r="E144" t="s">
        <v>86</v>
      </c>
      <c r="F144" t="s">
        <v>5</v>
      </c>
      <c r="G144">
        <v>5</v>
      </c>
      <c r="H144">
        <v>45000</v>
      </c>
      <c r="I144">
        <v>0.15</v>
      </c>
      <c r="J144">
        <v>191250</v>
      </c>
      <c r="K144">
        <v>47573.62</v>
      </c>
      <c r="L144" t="s">
        <v>71</v>
      </c>
      <c r="M144" t="str">
        <f t="shared" si="2"/>
        <v>Jan</v>
      </c>
    </row>
    <row r="145" spans="1:13">
      <c r="A145" t="s">
        <v>413</v>
      </c>
      <c r="B145" t="s">
        <v>414</v>
      </c>
      <c r="C145" t="s">
        <v>415</v>
      </c>
      <c r="D145" t="s">
        <v>75</v>
      </c>
      <c r="E145" t="s">
        <v>57</v>
      </c>
      <c r="F145" t="s">
        <v>6</v>
      </c>
      <c r="G145">
        <v>4</v>
      </c>
      <c r="H145">
        <v>35000</v>
      </c>
      <c r="I145">
        <v>0</v>
      </c>
      <c r="J145">
        <v>140000</v>
      </c>
      <c r="K145">
        <v>57716.43</v>
      </c>
      <c r="L145" t="s">
        <v>71</v>
      </c>
      <c r="M145" t="str">
        <f t="shared" si="2"/>
        <v>Nov</v>
      </c>
    </row>
    <row r="146" spans="1:13">
      <c r="A146" t="s">
        <v>416</v>
      </c>
      <c r="B146" t="s">
        <v>64</v>
      </c>
      <c r="C146" t="s">
        <v>417</v>
      </c>
      <c r="D146" t="s">
        <v>46</v>
      </c>
      <c r="E146" t="s">
        <v>47</v>
      </c>
      <c r="F146" t="s">
        <v>6</v>
      </c>
      <c r="G146">
        <v>2</v>
      </c>
      <c r="H146">
        <v>420000</v>
      </c>
      <c r="I146">
        <v>0.15</v>
      </c>
      <c r="J146">
        <v>714000</v>
      </c>
      <c r="K146">
        <v>221231.39</v>
      </c>
      <c r="L146" t="s">
        <v>71</v>
      </c>
      <c r="M146" t="str">
        <f t="shared" si="2"/>
        <v>Feb</v>
      </c>
    </row>
    <row r="147" spans="1:13">
      <c r="A147" t="s">
        <v>418</v>
      </c>
      <c r="B147" t="s">
        <v>419</v>
      </c>
      <c r="C147" t="s">
        <v>301</v>
      </c>
      <c r="D147" t="s">
        <v>52</v>
      </c>
      <c r="E147" t="s">
        <v>47</v>
      </c>
      <c r="F147" t="s">
        <v>3</v>
      </c>
      <c r="G147">
        <v>4</v>
      </c>
      <c r="H147">
        <v>55000</v>
      </c>
      <c r="I147">
        <v>0.2</v>
      </c>
      <c r="J147">
        <v>176000</v>
      </c>
      <c r="K147">
        <v>49118.11</v>
      </c>
      <c r="L147" t="s">
        <v>71</v>
      </c>
      <c r="M147" t="str">
        <f t="shared" si="2"/>
        <v>Mar</v>
      </c>
    </row>
    <row r="148" spans="1:13">
      <c r="A148" t="s">
        <v>420</v>
      </c>
      <c r="B148" t="s">
        <v>421</v>
      </c>
      <c r="C148" t="s">
        <v>147</v>
      </c>
      <c r="D148" t="s">
        <v>75</v>
      </c>
      <c r="E148" t="s">
        <v>57</v>
      </c>
      <c r="F148" t="s">
        <v>6</v>
      </c>
      <c r="G148">
        <v>3</v>
      </c>
      <c r="H148">
        <v>35000</v>
      </c>
      <c r="I148">
        <v>0</v>
      </c>
      <c r="J148">
        <v>105000</v>
      </c>
      <c r="K148">
        <v>34680.089999999997</v>
      </c>
      <c r="L148" t="s">
        <v>48</v>
      </c>
      <c r="M148" t="str">
        <f t="shared" si="2"/>
        <v>Jan</v>
      </c>
    </row>
    <row r="149" spans="1:13">
      <c r="A149" t="s">
        <v>422</v>
      </c>
      <c r="B149" t="s">
        <v>370</v>
      </c>
      <c r="C149" t="s">
        <v>298</v>
      </c>
      <c r="D149" t="s">
        <v>85</v>
      </c>
      <c r="E149" t="s">
        <v>86</v>
      </c>
      <c r="F149" t="s">
        <v>5</v>
      </c>
      <c r="G149">
        <v>3</v>
      </c>
      <c r="H149">
        <v>12000</v>
      </c>
      <c r="I149">
        <v>0</v>
      </c>
      <c r="J149">
        <v>36000</v>
      </c>
      <c r="K149">
        <v>12330.08</v>
      </c>
      <c r="L149" t="s">
        <v>71</v>
      </c>
      <c r="M149" t="str">
        <f t="shared" si="2"/>
        <v>Oct</v>
      </c>
    </row>
    <row r="150" spans="1:13">
      <c r="A150" t="s">
        <v>423</v>
      </c>
      <c r="B150" t="s">
        <v>424</v>
      </c>
      <c r="C150" t="s">
        <v>425</v>
      </c>
      <c r="D150" t="s">
        <v>46</v>
      </c>
      <c r="E150" t="s">
        <v>47</v>
      </c>
      <c r="F150" t="s">
        <v>5</v>
      </c>
      <c r="G150">
        <v>2</v>
      </c>
      <c r="H150">
        <v>420000</v>
      </c>
      <c r="I150">
        <v>0.2</v>
      </c>
      <c r="J150">
        <v>672000</v>
      </c>
      <c r="K150">
        <v>64963.01</v>
      </c>
      <c r="L150" t="s">
        <v>91</v>
      </c>
      <c r="M150" t="str">
        <f t="shared" si="2"/>
        <v>Dec</v>
      </c>
    </row>
    <row r="151" spans="1:13">
      <c r="A151" t="s">
        <v>426</v>
      </c>
      <c r="B151" t="s">
        <v>272</v>
      </c>
      <c r="C151" t="s">
        <v>100</v>
      </c>
      <c r="D151" t="s">
        <v>118</v>
      </c>
      <c r="E151" t="s">
        <v>57</v>
      </c>
      <c r="F151" t="s">
        <v>2</v>
      </c>
      <c r="G151">
        <v>5</v>
      </c>
      <c r="H151">
        <v>120000</v>
      </c>
      <c r="I151">
        <v>0</v>
      </c>
      <c r="J151">
        <v>600000</v>
      </c>
      <c r="K151">
        <v>258885.16</v>
      </c>
      <c r="L151" t="s">
        <v>58</v>
      </c>
      <c r="M151" t="str">
        <f t="shared" si="2"/>
        <v>Mar</v>
      </c>
    </row>
    <row r="152" spans="1:13">
      <c r="A152" t="s">
        <v>427</v>
      </c>
      <c r="B152" t="s">
        <v>428</v>
      </c>
      <c r="C152" t="s">
        <v>429</v>
      </c>
      <c r="D152" t="s">
        <v>118</v>
      </c>
      <c r="E152" t="s">
        <v>57</v>
      </c>
      <c r="F152" t="s">
        <v>2</v>
      </c>
      <c r="G152">
        <v>2</v>
      </c>
      <c r="H152">
        <v>120000</v>
      </c>
      <c r="I152">
        <v>0.15</v>
      </c>
      <c r="J152">
        <v>204000</v>
      </c>
      <c r="K152">
        <v>71816.259999999995</v>
      </c>
      <c r="L152" t="s">
        <v>91</v>
      </c>
      <c r="M152" t="str">
        <f t="shared" si="2"/>
        <v>Jun</v>
      </c>
    </row>
    <row r="153" spans="1:13">
      <c r="A153" t="s">
        <v>430</v>
      </c>
      <c r="B153" t="s">
        <v>431</v>
      </c>
      <c r="C153" t="s">
        <v>147</v>
      </c>
      <c r="D153" t="s">
        <v>110</v>
      </c>
      <c r="E153" t="s">
        <v>47</v>
      </c>
      <c r="F153" t="s">
        <v>3</v>
      </c>
      <c r="G153">
        <v>1</v>
      </c>
      <c r="H153">
        <v>85000</v>
      </c>
      <c r="I153">
        <v>0</v>
      </c>
      <c r="J153">
        <v>85000</v>
      </c>
      <c r="K153">
        <v>37908.959999999999</v>
      </c>
      <c r="L153" t="s">
        <v>91</v>
      </c>
      <c r="M153" t="str">
        <f t="shared" si="2"/>
        <v>Feb</v>
      </c>
    </row>
    <row r="154" spans="1:13">
      <c r="A154" t="s">
        <v>432</v>
      </c>
      <c r="B154" t="s">
        <v>433</v>
      </c>
      <c r="C154" t="s">
        <v>255</v>
      </c>
      <c r="D154" t="s">
        <v>129</v>
      </c>
      <c r="E154" t="s">
        <v>47</v>
      </c>
      <c r="F154" t="s">
        <v>3</v>
      </c>
      <c r="G154">
        <v>3</v>
      </c>
      <c r="H154">
        <v>650000</v>
      </c>
      <c r="I154">
        <v>0</v>
      </c>
      <c r="J154">
        <v>1950000</v>
      </c>
      <c r="K154">
        <v>810761.63</v>
      </c>
      <c r="L154" t="s">
        <v>48</v>
      </c>
      <c r="M154" t="str">
        <f t="shared" si="2"/>
        <v>Mar</v>
      </c>
    </row>
    <row r="155" spans="1:13">
      <c r="A155" t="s">
        <v>434</v>
      </c>
      <c r="B155" t="s">
        <v>435</v>
      </c>
      <c r="C155" t="s">
        <v>176</v>
      </c>
      <c r="D155" t="s">
        <v>46</v>
      </c>
      <c r="E155" t="s">
        <v>47</v>
      </c>
      <c r="F155" t="s">
        <v>4</v>
      </c>
      <c r="G155">
        <v>4</v>
      </c>
      <c r="H155">
        <v>420000</v>
      </c>
      <c r="I155">
        <v>0.05</v>
      </c>
      <c r="J155">
        <v>1596000</v>
      </c>
      <c r="K155">
        <v>439195.26</v>
      </c>
      <c r="L155" t="s">
        <v>58</v>
      </c>
      <c r="M155" t="str">
        <f t="shared" si="2"/>
        <v>Sep</v>
      </c>
    </row>
    <row r="156" spans="1:13">
      <c r="A156" t="s">
        <v>436</v>
      </c>
      <c r="B156" t="s">
        <v>437</v>
      </c>
      <c r="C156" t="s">
        <v>438</v>
      </c>
      <c r="D156" t="s">
        <v>52</v>
      </c>
      <c r="E156" t="s">
        <v>47</v>
      </c>
      <c r="F156" t="s">
        <v>5</v>
      </c>
      <c r="G156">
        <v>5</v>
      </c>
      <c r="H156">
        <v>55000</v>
      </c>
      <c r="I156">
        <v>0.05</v>
      </c>
      <c r="J156">
        <v>261250</v>
      </c>
      <c r="K156">
        <v>75990.34</v>
      </c>
      <c r="L156" t="s">
        <v>71</v>
      </c>
      <c r="M156" t="str">
        <f t="shared" si="2"/>
        <v>Jan</v>
      </c>
    </row>
    <row r="157" spans="1:13">
      <c r="A157" t="s">
        <v>439</v>
      </c>
      <c r="B157" t="s">
        <v>440</v>
      </c>
      <c r="C157" t="s">
        <v>344</v>
      </c>
      <c r="D157" t="s">
        <v>62</v>
      </c>
      <c r="E157" t="s">
        <v>47</v>
      </c>
      <c r="F157" t="s">
        <v>5</v>
      </c>
      <c r="G157">
        <v>1</v>
      </c>
      <c r="H157">
        <v>180000</v>
      </c>
      <c r="I157">
        <v>0.1</v>
      </c>
      <c r="J157">
        <v>162000</v>
      </c>
      <c r="K157">
        <v>28377.3</v>
      </c>
      <c r="L157" t="s">
        <v>48</v>
      </c>
      <c r="M157" t="str">
        <f t="shared" si="2"/>
        <v>Aug</v>
      </c>
    </row>
    <row r="158" spans="1:13">
      <c r="A158" t="s">
        <v>441</v>
      </c>
      <c r="B158" t="s">
        <v>442</v>
      </c>
      <c r="C158" t="s">
        <v>443</v>
      </c>
      <c r="D158" t="s">
        <v>85</v>
      </c>
      <c r="E158" t="s">
        <v>86</v>
      </c>
      <c r="F158" t="s">
        <v>3</v>
      </c>
      <c r="G158">
        <v>2</v>
      </c>
      <c r="H158">
        <v>12000</v>
      </c>
      <c r="I158">
        <v>0</v>
      </c>
      <c r="J158">
        <v>24000</v>
      </c>
      <c r="K158">
        <v>9982.2800000000007</v>
      </c>
      <c r="L158" t="s">
        <v>91</v>
      </c>
      <c r="M158" t="str">
        <f t="shared" si="2"/>
        <v>Nov</v>
      </c>
    </row>
    <row r="159" spans="1:13">
      <c r="A159" t="s">
        <v>444</v>
      </c>
      <c r="B159" t="s">
        <v>324</v>
      </c>
      <c r="C159" t="s">
        <v>135</v>
      </c>
      <c r="D159" t="s">
        <v>62</v>
      </c>
      <c r="E159" t="s">
        <v>47</v>
      </c>
      <c r="F159" t="s">
        <v>5</v>
      </c>
      <c r="G159">
        <v>5</v>
      </c>
      <c r="H159">
        <v>180000</v>
      </c>
      <c r="I159">
        <v>0.05</v>
      </c>
      <c r="J159">
        <v>855000</v>
      </c>
      <c r="K159">
        <v>249747.15</v>
      </c>
      <c r="L159" t="s">
        <v>48</v>
      </c>
      <c r="M159" t="str">
        <f t="shared" si="2"/>
        <v>Nov</v>
      </c>
    </row>
    <row r="160" spans="1:13">
      <c r="A160" t="s">
        <v>445</v>
      </c>
      <c r="B160" t="s">
        <v>446</v>
      </c>
      <c r="C160" t="s">
        <v>447</v>
      </c>
      <c r="D160" t="s">
        <v>56</v>
      </c>
      <c r="E160" t="s">
        <v>57</v>
      </c>
      <c r="F160" t="s">
        <v>6</v>
      </c>
      <c r="G160">
        <v>4</v>
      </c>
      <c r="H160">
        <v>210000</v>
      </c>
      <c r="I160">
        <v>0.1</v>
      </c>
      <c r="J160">
        <v>756000</v>
      </c>
      <c r="K160">
        <v>92580.96</v>
      </c>
      <c r="L160" t="s">
        <v>71</v>
      </c>
      <c r="M160" t="str">
        <f t="shared" si="2"/>
        <v>Apr</v>
      </c>
    </row>
    <row r="161" spans="1:13">
      <c r="A161" t="s">
        <v>448</v>
      </c>
      <c r="B161" t="s">
        <v>233</v>
      </c>
      <c r="C161" t="s">
        <v>449</v>
      </c>
      <c r="D161" t="s">
        <v>62</v>
      </c>
      <c r="E161" t="s">
        <v>47</v>
      </c>
      <c r="F161" t="s">
        <v>6</v>
      </c>
      <c r="G161">
        <v>1</v>
      </c>
      <c r="H161">
        <v>180000</v>
      </c>
      <c r="I161">
        <v>0.05</v>
      </c>
      <c r="J161">
        <v>171000</v>
      </c>
      <c r="K161">
        <v>51259.27</v>
      </c>
      <c r="L161" t="s">
        <v>58</v>
      </c>
      <c r="M161" t="str">
        <f t="shared" si="2"/>
        <v>Aug</v>
      </c>
    </row>
    <row r="162" spans="1:13">
      <c r="A162" t="s">
        <v>450</v>
      </c>
      <c r="B162" t="s">
        <v>451</v>
      </c>
      <c r="C162" t="s">
        <v>452</v>
      </c>
      <c r="D162" t="s">
        <v>90</v>
      </c>
      <c r="E162" t="s">
        <v>86</v>
      </c>
      <c r="F162" t="s">
        <v>6</v>
      </c>
      <c r="G162">
        <v>1</v>
      </c>
      <c r="H162">
        <v>45000</v>
      </c>
      <c r="I162">
        <v>0</v>
      </c>
      <c r="J162">
        <v>45000</v>
      </c>
      <c r="K162">
        <v>19117.25</v>
      </c>
      <c r="L162" t="s">
        <v>58</v>
      </c>
      <c r="M162" t="str">
        <f t="shared" si="2"/>
        <v>Feb</v>
      </c>
    </row>
    <row r="163" spans="1:13">
      <c r="A163" t="s">
        <v>453</v>
      </c>
      <c r="B163" t="s">
        <v>454</v>
      </c>
      <c r="C163" t="s">
        <v>455</v>
      </c>
      <c r="D163" t="s">
        <v>56</v>
      </c>
      <c r="E163" t="s">
        <v>57</v>
      </c>
      <c r="F163" t="s">
        <v>4</v>
      </c>
      <c r="G163">
        <v>5</v>
      </c>
      <c r="H163">
        <v>210000</v>
      </c>
      <c r="I163">
        <v>0.15</v>
      </c>
      <c r="J163">
        <v>892500</v>
      </c>
      <c r="K163">
        <v>155762.76</v>
      </c>
      <c r="L163" t="s">
        <v>91</v>
      </c>
      <c r="M163" t="str">
        <f t="shared" si="2"/>
        <v>Jan</v>
      </c>
    </row>
    <row r="164" spans="1:13">
      <c r="A164" t="s">
        <v>456</v>
      </c>
      <c r="B164" t="s">
        <v>181</v>
      </c>
      <c r="C164" t="s">
        <v>45</v>
      </c>
      <c r="D164" t="s">
        <v>62</v>
      </c>
      <c r="E164" t="s">
        <v>47</v>
      </c>
      <c r="F164" t="s">
        <v>3</v>
      </c>
      <c r="G164">
        <v>3</v>
      </c>
      <c r="H164">
        <v>180000</v>
      </c>
      <c r="I164">
        <v>0.15</v>
      </c>
      <c r="J164">
        <v>459000</v>
      </c>
      <c r="K164">
        <v>116444.95</v>
      </c>
      <c r="L164" t="s">
        <v>58</v>
      </c>
      <c r="M164" t="str">
        <f t="shared" si="2"/>
        <v>Jan</v>
      </c>
    </row>
    <row r="165" spans="1:13">
      <c r="A165" t="s">
        <v>457</v>
      </c>
      <c r="B165" t="s">
        <v>458</v>
      </c>
      <c r="C165" t="s">
        <v>170</v>
      </c>
      <c r="D165" t="s">
        <v>110</v>
      </c>
      <c r="E165" t="s">
        <v>47</v>
      </c>
      <c r="F165" t="s">
        <v>3</v>
      </c>
      <c r="G165">
        <v>4</v>
      </c>
      <c r="H165">
        <v>85000</v>
      </c>
      <c r="I165">
        <v>0</v>
      </c>
      <c r="J165">
        <v>340000</v>
      </c>
      <c r="K165">
        <v>75220.17</v>
      </c>
      <c r="L165" t="s">
        <v>91</v>
      </c>
      <c r="M165" t="str">
        <f t="shared" si="2"/>
        <v>Dec</v>
      </c>
    </row>
    <row r="166" spans="1:13">
      <c r="A166" t="s">
        <v>459</v>
      </c>
      <c r="B166" t="s">
        <v>143</v>
      </c>
      <c r="C166" t="s">
        <v>460</v>
      </c>
      <c r="D166" t="s">
        <v>46</v>
      </c>
      <c r="E166" t="s">
        <v>47</v>
      </c>
      <c r="F166" t="s">
        <v>3</v>
      </c>
      <c r="G166">
        <v>5</v>
      </c>
      <c r="H166">
        <v>420000</v>
      </c>
      <c r="I166">
        <v>0</v>
      </c>
      <c r="J166">
        <v>2100000</v>
      </c>
      <c r="K166">
        <v>487305.48</v>
      </c>
      <c r="L166" t="s">
        <v>48</v>
      </c>
      <c r="M166" t="str">
        <f t="shared" si="2"/>
        <v>May</v>
      </c>
    </row>
    <row r="167" spans="1:13">
      <c r="A167" t="s">
        <v>461</v>
      </c>
      <c r="B167" t="s">
        <v>458</v>
      </c>
      <c r="C167" t="s">
        <v>358</v>
      </c>
      <c r="D167" t="s">
        <v>52</v>
      </c>
      <c r="E167" t="s">
        <v>47</v>
      </c>
      <c r="F167" t="s">
        <v>6</v>
      </c>
      <c r="G167">
        <v>3</v>
      </c>
      <c r="H167">
        <v>55000</v>
      </c>
      <c r="I167">
        <v>0</v>
      </c>
      <c r="J167">
        <v>165000</v>
      </c>
      <c r="K167">
        <v>66212.460000000006</v>
      </c>
      <c r="L167" t="s">
        <v>91</v>
      </c>
      <c r="M167" t="str">
        <f t="shared" si="2"/>
        <v>Dec</v>
      </c>
    </row>
    <row r="168" spans="1:13">
      <c r="A168" t="s">
        <v>462</v>
      </c>
      <c r="B168" t="s">
        <v>463</v>
      </c>
      <c r="C168" t="s">
        <v>117</v>
      </c>
      <c r="D168" t="s">
        <v>129</v>
      </c>
      <c r="E168" t="s">
        <v>47</v>
      </c>
      <c r="F168" t="s">
        <v>2</v>
      </c>
      <c r="G168">
        <v>2</v>
      </c>
      <c r="H168">
        <v>650000</v>
      </c>
      <c r="I168">
        <v>0.15</v>
      </c>
      <c r="J168">
        <v>1105000</v>
      </c>
      <c r="K168">
        <v>159272.03</v>
      </c>
      <c r="L168" t="s">
        <v>48</v>
      </c>
      <c r="M168" t="str">
        <f t="shared" si="2"/>
        <v>Apr</v>
      </c>
    </row>
    <row r="169" spans="1:13">
      <c r="A169" t="s">
        <v>464</v>
      </c>
      <c r="B169" t="s">
        <v>465</v>
      </c>
      <c r="C169" t="s">
        <v>317</v>
      </c>
      <c r="D169" t="s">
        <v>46</v>
      </c>
      <c r="E169" t="s">
        <v>47</v>
      </c>
      <c r="F169" t="s">
        <v>2</v>
      </c>
      <c r="G169">
        <v>2</v>
      </c>
      <c r="H169">
        <v>420000</v>
      </c>
      <c r="I169">
        <v>0.1</v>
      </c>
      <c r="J169">
        <v>756000</v>
      </c>
      <c r="K169">
        <v>198781.99</v>
      </c>
      <c r="L169" t="s">
        <v>91</v>
      </c>
      <c r="M169" t="str">
        <f t="shared" si="2"/>
        <v>Sep</v>
      </c>
    </row>
    <row r="170" spans="1:13">
      <c r="A170" t="s">
        <v>466</v>
      </c>
      <c r="B170" t="s">
        <v>467</v>
      </c>
      <c r="C170" t="s">
        <v>268</v>
      </c>
      <c r="D170" t="s">
        <v>75</v>
      </c>
      <c r="E170" t="s">
        <v>57</v>
      </c>
      <c r="F170" t="s">
        <v>2</v>
      </c>
      <c r="G170">
        <v>5</v>
      </c>
      <c r="H170">
        <v>35000</v>
      </c>
      <c r="I170">
        <v>0.15</v>
      </c>
      <c r="J170">
        <v>148750</v>
      </c>
      <c r="K170">
        <v>48485.78</v>
      </c>
      <c r="L170" t="s">
        <v>58</v>
      </c>
      <c r="M170" t="str">
        <f t="shared" si="2"/>
        <v>Jun</v>
      </c>
    </row>
    <row r="171" spans="1:13">
      <c r="A171" t="s">
        <v>468</v>
      </c>
      <c r="B171" t="s">
        <v>157</v>
      </c>
      <c r="C171" t="s">
        <v>97</v>
      </c>
      <c r="D171" t="s">
        <v>52</v>
      </c>
      <c r="E171" t="s">
        <v>47</v>
      </c>
      <c r="F171" t="s">
        <v>4</v>
      </c>
      <c r="G171">
        <v>1</v>
      </c>
      <c r="H171">
        <v>55000</v>
      </c>
      <c r="I171">
        <v>0.05</v>
      </c>
      <c r="J171">
        <v>52250</v>
      </c>
      <c r="K171">
        <v>15419.77</v>
      </c>
      <c r="L171" t="s">
        <v>71</v>
      </c>
      <c r="M171" t="str">
        <f t="shared" si="2"/>
        <v>Jan</v>
      </c>
    </row>
    <row r="172" spans="1:13">
      <c r="A172" t="s">
        <v>469</v>
      </c>
      <c r="B172" t="s">
        <v>470</v>
      </c>
      <c r="C172" t="s">
        <v>135</v>
      </c>
      <c r="D172" t="s">
        <v>62</v>
      </c>
      <c r="E172" t="s">
        <v>47</v>
      </c>
      <c r="F172" t="s">
        <v>5</v>
      </c>
      <c r="G172">
        <v>2</v>
      </c>
      <c r="H172">
        <v>180000</v>
      </c>
      <c r="I172">
        <v>0.15</v>
      </c>
      <c r="J172">
        <v>306000</v>
      </c>
      <c r="K172">
        <v>96936.94</v>
      </c>
      <c r="L172" t="s">
        <v>91</v>
      </c>
      <c r="M172" t="str">
        <f t="shared" si="2"/>
        <v>May</v>
      </c>
    </row>
    <row r="173" spans="1:13">
      <c r="A173" t="s">
        <v>471</v>
      </c>
      <c r="B173" t="s">
        <v>472</v>
      </c>
      <c r="C173" t="s">
        <v>236</v>
      </c>
      <c r="D173" t="s">
        <v>52</v>
      </c>
      <c r="E173" t="s">
        <v>47</v>
      </c>
      <c r="F173" t="s">
        <v>4</v>
      </c>
      <c r="G173">
        <v>5</v>
      </c>
      <c r="H173">
        <v>55000</v>
      </c>
      <c r="I173">
        <v>0.2</v>
      </c>
      <c r="J173">
        <v>220000</v>
      </c>
      <c r="K173">
        <v>45849.86</v>
      </c>
      <c r="L173" t="s">
        <v>48</v>
      </c>
      <c r="M173" t="str">
        <f t="shared" si="2"/>
        <v>Sep</v>
      </c>
    </row>
    <row r="174" spans="1:13">
      <c r="A174" t="s">
        <v>473</v>
      </c>
      <c r="B174" t="s">
        <v>163</v>
      </c>
      <c r="C174" t="s">
        <v>449</v>
      </c>
      <c r="D174" t="s">
        <v>129</v>
      </c>
      <c r="E174" t="s">
        <v>47</v>
      </c>
      <c r="F174" t="s">
        <v>6</v>
      </c>
      <c r="G174">
        <v>3</v>
      </c>
      <c r="H174">
        <v>650000</v>
      </c>
      <c r="I174">
        <v>0</v>
      </c>
      <c r="J174">
        <v>1950000</v>
      </c>
      <c r="K174">
        <v>473490.47</v>
      </c>
      <c r="L174" t="s">
        <v>91</v>
      </c>
      <c r="M174" t="str">
        <f t="shared" si="2"/>
        <v>Apr</v>
      </c>
    </row>
    <row r="175" spans="1:13">
      <c r="A175" t="s">
        <v>474</v>
      </c>
      <c r="B175" t="s">
        <v>475</v>
      </c>
      <c r="C175" t="s">
        <v>164</v>
      </c>
      <c r="D175" t="s">
        <v>46</v>
      </c>
      <c r="E175" t="s">
        <v>47</v>
      </c>
      <c r="F175" t="s">
        <v>4</v>
      </c>
      <c r="G175">
        <v>4</v>
      </c>
      <c r="H175">
        <v>420000</v>
      </c>
      <c r="I175">
        <v>0.2</v>
      </c>
      <c r="J175">
        <v>1344000</v>
      </c>
      <c r="K175">
        <v>224654.89</v>
      </c>
      <c r="L175" t="s">
        <v>58</v>
      </c>
      <c r="M175" t="str">
        <f t="shared" si="2"/>
        <v>Jan</v>
      </c>
    </row>
    <row r="176" spans="1:13">
      <c r="A176" t="s">
        <v>476</v>
      </c>
      <c r="B176" t="s">
        <v>477</v>
      </c>
      <c r="C176" t="s">
        <v>190</v>
      </c>
      <c r="D176" t="s">
        <v>56</v>
      </c>
      <c r="E176" t="s">
        <v>57</v>
      </c>
      <c r="F176" t="s">
        <v>4</v>
      </c>
      <c r="G176">
        <v>3</v>
      </c>
      <c r="H176">
        <v>210000</v>
      </c>
      <c r="I176">
        <v>0</v>
      </c>
      <c r="J176">
        <v>630000</v>
      </c>
      <c r="K176">
        <v>215958.19</v>
      </c>
      <c r="L176" t="s">
        <v>48</v>
      </c>
      <c r="M176" t="str">
        <f t="shared" si="2"/>
        <v>Oct</v>
      </c>
    </row>
    <row r="177" spans="1:13">
      <c r="A177" t="s">
        <v>478</v>
      </c>
      <c r="B177" t="s">
        <v>479</v>
      </c>
      <c r="C177" t="s">
        <v>352</v>
      </c>
      <c r="D177" t="s">
        <v>90</v>
      </c>
      <c r="E177" t="s">
        <v>86</v>
      </c>
      <c r="F177" t="s">
        <v>4</v>
      </c>
      <c r="G177">
        <v>3</v>
      </c>
      <c r="H177">
        <v>45000</v>
      </c>
      <c r="I177">
        <v>0.15</v>
      </c>
      <c r="J177">
        <v>114750</v>
      </c>
      <c r="K177">
        <v>24852.59</v>
      </c>
      <c r="L177" t="s">
        <v>91</v>
      </c>
      <c r="M177" t="str">
        <f t="shared" si="2"/>
        <v>Feb</v>
      </c>
    </row>
    <row r="178" spans="1:13">
      <c r="A178" t="s">
        <v>480</v>
      </c>
      <c r="B178" t="s">
        <v>481</v>
      </c>
      <c r="C178" t="s">
        <v>482</v>
      </c>
      <c r="D178" t="s">
        <v>46</v>
      </c>
      <c r="E178" t="s">
        <v>47</v>
      </c>
      <c r="F178" t="s">
        <v>6</v>
      </c>
      <c r="G178">
        <v>1</v>
      </c>
      <c r="H178">
        <v>420000</v>
      </c>
      <c r="I178">
        <v>0.05</v>
      </c>
      <c r="J178">
        <v>399000</v>
      </c>
      <c r="K178">
        <v>148509.57999999999</v>
      </c>
      <c r="L178" t="s">
        <v>48</v>
      </c>
      <c r="M178" t="str">
        <f t="shared" si="2"/>
        <v>Jul</v>
      </c>
    </row>
    <row r="179" spans="1:13">
      <c r="A179" t="s">
        <v>483</v>
      </c>
      <c r="B179" t="s">
        <v>484</v>
      </c>
      <c r="C179" t="s">
        <v>485</v>
      </c>
      <c r="D179" t="s">
        <v>62</v>
      </c>
      <c r="E179" t="s">
        <v>47</v>
      </c>
      <c r="F179" t="s">
        <v>5</v>
      </c>
      <c r="G179">
        <v>2</v>
      </c>
      <c r="H179">
        <v>180000</v>
      </c>
      <c r="I179">
        <v>0.1</v>
      </c>
      <c r="J179">
        <v>324000</v>
      </c>
      <c r="K179">
        <v>68761.710000000006</v>
      </c>
      <c r="L179" t="s">
        <v>71</v>
      </c>
      <c r="M179" t="str">
        <f t="shared" si="2"/>
        <v>Feb</v>
      </c>
    </row>
    <row r="180" spans="1:13">
      <c r="A180" t="s">
        <v>486</v>
      </c>
      <c r="B180" t="s">
        <v>487</v>
      </c>
      <c r="C180" t="s">
        <v>144</v>
      </c>
      <c r="D180" t="s">
        <v>75</v>
      </c>
      <c r="E180" t="s">
        <v>57</v>
      </c>
      <c r="F180" t="s">
        <v>3</v>
      </c>
      <c r="G180">
        <v>2</v>
      </c>
      <c r="H180">
        <v>35000</v>
      </c>
      <c r="I180">
        <v>0.05</v>
      </c>
      <c r="J180">
        <v>66500</v>
      </c>
      <c r="K180">
        <v>13274.67</v>
      </c>
      <c r="L180" t="s">
        <v>48</v>
      </c>
      <c r="M180" t="str">
        <f t="shared" si="2"/>
        <v>Jun</v>
      </c>
    </row>
    <row r="181" spans="1:13">
      <c r="A181" t="s">
        <v>488</v>
      </c>
      <c r="B181" t="s">
        <v>489</v>
      </c>
      <c r="C181" t="s">
        <v>429</v>
      </c>
      <c r="D181" t="s">
        <v>56</v>
      </c>
      <c r="E181" t="s">
        <v>57</v>
      </c>
      <c r="F181" t="s">
        <v>2</v>
      </c>
      <c r="G181">
        <v>2</v>
      </c>
      <c r="H181">
        <v>210000</v>
      </c>
      <c r="I181">
        <v>0.05</v>
      </c>
      <c r="J181">
        <v>399000</v>
      </c>
      <c r="K181">
        <v>128185.29</v>
      </c>
      <c r="L181" t="s">
        <v>48</v>
      </c>
      <c r="M181" t="str">
        <f t="shared" si="2"/>
        <v>Sep</v>
      </c>
    </row>
    <row r="182" spans="1:13">
      <c r="A182" t="s">
        <v>490</v>
      </c>
      <c r="B182" t="s">
        <v>491</v>
      </c>
      <c r="C182" t="s">
        <v>144</v>
      </c>
      <c r="D182" t="s">
        <v>110</v>
      </c>
      <c r="E182" t="s">
        <v>47</v>
      </c>
      <c r="F182" t="s">
        <v>2</v>
      </c>
      <c r="G182">
        <v>2</v>
      </c>
      <c r="H182">
        <v>85000</v>
      </c>
      <c r="I182">
        <v>0</v>
      </c>
      <c r="J182">
        <v>170000</v>
      </c>
      <c r="K182">
        <v>48849.89</v>
      </c>
      <c r="L182" t="s">
        <v>71</v>
      </c>
      <c r="M182" t="str">
        <f t="shared" si="2"/>
        <v>May</v>
      </c>
    </row>
    <row r="183" spans="1:13">
      <c r="A183" t="s">
        <v>492</v>
      </c>
      <c r="B183" t="s">
        <v>493</v>
      </c>
      <c r="C183" t="s">
        <v>167</v>
      </c>
      <c r="D183" t="s">
        <v>90</v>
      </c>
      <c r="E183" t="s">
        <v>86</v>
      </c>
      <c r="F183" t="s">
        <v>3</v>
      </c>
      <c r="G183">
        <v>5</v>
      </c>
      <c r="H183">
        <v>45000</v>
      </c>
      <c r="I183">
        <v>0.1</v>
      </c>
      <c r="J183">
        <v>202500</v>
      </c>
      <c r="K183">
        <v>37371.14</v>
      </c>
      <c r="L183" t="s">
        <v>91</v>
      </c>
      <c r="M183" t="str">
        <f t="shared" si="2"/>
        <v>Oct</v>
      </c>
    </row>
    <row r="184" spans="1:13">
      <c r="A184" t="s">
        <v>494</v>
      </c>
      <c r="B184" t="s">
        <v>495</v>
      </c>
      <c r="C184" t="s">
        <v>173</v>
      </c>
      <c r="D184" t="s">
        <v>85</v>
      </c>
      <c r="E184" t="s">
        <v>86</v>
      </c>
      <c r="F184" t="s">
        <v>6</v>
      </c>
      <c r="G184">
        <v>4</v>
      </c>
      <c r="H184">
        <v>12000</v>
      </c>
      <c r="I184">
        <v>0</v>
      </c>
      <c r="J184">
        <v>48000</v>
      </c>
      <c r="K184">
        <v>15522.78</v>
      </c>
      <c r="L184" t="s">
        <v>48</v>
      </c>
      <c r="M184" t="str">
        <f t="shared" si="2"/>
        <v>Mar</v>
      </c>
    </row>
    <row r="185" spans="1:13">
      <c r="A185" t="s">
        <v>496</v>
      </c>
      <c r="B185" t="s">
        <v>497</v>
      </c>
      <c r="C185" t="s">
        <v>415</v>
      </c>
      <c r="D185" t="s">
        <v>85</v>
      </c>
      <c r="E185" t="s">
        <v>86</v>
      </c>
      <c r="F185" t="s">
        <v>5</v>
      </c>
      <c r="G185">
        <v>1</v>
      </c>
      <c r="H185">
        <v>12000</v>
      </c>
      <c r="I185">
        <v>0.05</v>
      </c>
      <c r="J185">
        <v>11400</v>
      </c>
      <c r="K185">
        <v>3303.95</v>
      </c>
      <c r="L185" t="s">
        <v>91</v>
      </c>
      <c r="M185" t="str">
        <f t="shared" si="2"/>
        <v>Sep</v>
      </c>
    </row>
    <row r="186" spans="1:13">
      <c r="A186" t="s">
        <v>498</v>
      </c>
      <c r="B186" t="s">
        <v>479</v>
      </c>
      <c r="C186" t="s">
        <v>234</v>
      </c>
      <c r="D186" t="s">
        <v>75</v>
      </c>
      <c r="E186" t="s">
        <v>57</v>
      </c>
      <c r="F186" t="s">
        <v>4</v>
      </c>
      <c r="G186">
        <v>1</v>
      </c>
      <c r="H186">
        <v>35000</v>
      </c>
      <c r="I186">
        <v>0.15</v>
      </c>
      <c r="J186">
        <v>29750</v>
      </c>
      <c r="K186">
        <v>4885.95</v>
      </c>
      <c r="L186" t="s">
        <v>48</v>
      </c>
      <c r="M186" t="str">
        <f t="shared" si="2"/>
        <v>Feb</v>
      </c>
    </row>
    <row r="187" spans="1:13">
      <c r="A187" t="s">
        <v>499</v>
      </c>
      <c r="B187" t="s">
        <v>500</v>
      </c>
      <c r="C187" t="s">
        <v>501</v>
      </c>
      <c r="D187" t="s">
        <v>90</v>
      </c>
      <c r="E187" t="s">
        <v>86</v>
      </c>
      <c r="F187" t="s">
        <v>2</v>
      </c>
      <c r="G187">
        <v>2</v>
      </c>
      <c r="H187">
        <v>45000</v>
      </c>
      <c r="I187">
        <v>0.05</v>
      </c>
      <c r="J187">
        <v>85500</v>
      </c>
      <c r="K187">
        <v>21298.36</v>
      </c>
      <c r="L187" t="s">
        <v>48</v>
      </c>
      <c r="M187" t="str">
        <f t="shared" si="2"/>
        <v>Oct</v>
      </c>
    </row>
    <row r="188" spans="1:13">
      <c r="A188" t="s">
        <v>502</v>
      </c>
      <c r="B188" t="s">
        <v>503</v>
      </c>
      <c r="C188" t="s">
        <v>222</v>
      </c>
      <c r="D188" t="s">
        <v>90</v>
      </c>
      <c r="E188" t="s">
        <v>86</v>
      </c>
      <c r="F188" t="s">
        <v>5</v>
      </c>
      <c r="G188">
        <v>3</v>
      </c>
      <c r="H188">
        <v>45000</v>
      </c>
      <c r="I188">
        <v>0.2</v>
      </c>
      <c r="J188">
        <v>108000</v>
      </c>
      <c r="K188">
        <v>30676.2</v>
      </c>
      <c r="L188" t="s">
        <v>58</v>
      </c>
      <c r="M188" t="str">
        <f t="shared" si="2"/>
        <v>Feb</v>
      </c>
    </row>
    <row r="189" spans="1:13">
      <c r="A189" t="s">
        <v>504</v>
      </c>
      <c r="B189" t="s">
        <v>505</v>
      </c>
      <c r="C189" t="s">
        <v>506</v>
      </c>
      <c r="D189" t="s">
        <v>90</v>
      </c>
      <c r="E189" t="s">
        <v>86</v>
      </c>
      <c r="F189" t="s">
        <v>6</v>
      </c>
      <c r="G189">
        <v>5</v>
      </c>
      <c r="H189">
        <v>45000</v>
      </c>
      <c r="I189">
        <v>0.15</v>
      </c>
      <c r="J189">
        <v>191250</v>
      </c>
      <c r="K189">
        <v>30454.32</v>
      </c>
      <c r="L189" t="s">
        <v>91</v>
      </c>
      <c r="M189" t="str">
        <f t="shared" si="2"/>
        <v>Aug</v>
      </c>
    </row>
    <row r="190" spans="1:13">
      <c r="A190" t="s">
        <v>507</v>
      </c>
      <c r="B190" t="s">
        <v>508</v>
      </c>
      <c r="C190" t="s">
        <v>196</v>
      </c>
      <c r="D190" t="s">
        <v>62</v>
      </c>
      <c r="E190" t="s">
        <v>47</v>
      </c>
      <c r="F190" t="s">
        <v>5</v>
      </c>
      <c r="G190">
        <v>3</v>
      </c>
      <c r="H190">
        <v>180000</v>
      </c>
      <c r="I190">
        <v>0.2</v>
      </c>
      <c r="J190">
        <v>432000</v>
      </c>
      <c r="K190">
        <v>47828.24</v>
      </c>
      <c r="L190" t="s">
        <v>91</v>
      </c>
      <c r="M190" t="str">
        <f t="shared" si="2"/>
        <v>Jul</v>
      </c>
    </row>
    <row r="191" spans="1:13">
      <c r="A191" t="s">
        <v>509</v>
      </c>
      <c r="B191" t="s">
        <v>238</v>
      </c>
      <c r="C191" t="s">
        <v>510</v>
      </c>
      <c r="D191" t="s">
        <v>46</v>
      </c>
      <c r="E191" t="s">
        <v>47</v>
      </c>
      <c r="F191" t="s">
        <v>6</v>
      </c>
      <c r="G191">
        <v>4</v>
      </c>
      <c r="H191">
        <v>420000</v>
      </c>
      <c r="I191">
        <v>0.05</v>
      </c>
      <c r="J191">
        <v>1596000</v>
      </c>
      <c r="K191">
        <v>557694.71</v>
      </c>
      <c r="L191" t="s">
        <v>48</v>
      </c>
      <c r="M191" t="str">
        <f t="shared" si="2"/>
        <v>Oct</v>
      </c>
    </row>
    <row r="192" spans="1:13">
      <c r="A192" t="s">
        <v>511</v>
      </c>
      <c r="B192" t="s">
        <v>424</v>
      </c>
      <c r="C192" t="s">
        <v>260</v>
      </c>
      <c r="D192" t="s">
        <v>52</v>
      </c>
      <c r="E192" t="s">
        <v>47</v>
      </c>
      <c r="F192" t="s">
        <v>2</v>
      </c>
      <c r="G192">
        <v>2</v>
      </c>
      <c r="H192">
        <v>55000</v>
      </c>
      <c r="I192">
        <v>0.05</v>
      </c>
      <c r="J192">
        <v>104500</v>
      </c>
      <c r="K192">
        <v>34786.120000000003</v>
      </c>
      <c r="L192" t="s">
        <v>48</v>
      </c>
      <c r="M192" t="str">
        <f t="shared" si="2"/>
        <v>Dec</v>
      </c>
    </row>
    <row r="193" spans="1:13">
      <c r="A193" t="s">
        <v>512</v>
      </c>
      <c r="B193" t="s">
        <v>477</v>
      </c>
      <c r="C193" t="s">
        <v>314</v>
      </c>
      <c r="D193" t="s">
        <v>75</v>
      </c>
      <c r="E193" t="s">
        <v>57</v>
      </c>
      <c r="F193" t="s">
        <v>3</v>
      </c>
      <c r="G193">
        <v>4</v>
      </c>
      <c r="H193">
        <v>35000</v>
      </c>
      <c r="I193">
        <v>0.2</v>
      </c>
      <c r="J193">
        <v>112000</v>
      </c>
      <c r="K193">
        <v>5075.18</v>
      </c>
      <c r="L193" t="s">
        <v>48</v>
      </c>
      <c r="M193" t="str">
        <f t="shared" si="2"/>
        <v>Oct</v>
      </c>
    </row>
    <row r="194" spans="1:13">
      <c r="A194" t="s">
        <v>513</v>
      </c>
      <c r="B194" t="s">
        <v>514</v>
      </c>
      <c r="C194" t="s">
        <v>263</v>
      </c>
      <c r="D194" t="s">
        <v>62</v>
      </c>
      <c r="E194" t="s">
        <v>47</v>
      </c>
      <c r="F194" t="s">
        <v>2</v>
      </c>
      <c r="G194">
        <v>3</v>
      </c>
      <c r="H194">
        <v>180000</v>
      </c>
      <c r="I194">
        <v>0</v>
      </c>
      <c r="J194">
        <v>540000</v>
      </c>
      <c r="K194">
        <v>190133.26</v>
      </c>
      <c r="L194" t="s">
        <v>91</v>
      </c>
      <c r="M194" t="str">
        <f t="shared" si="2"/>
        <v>Sep</v>
      </c>
    </row>
    <row r="195" spans="1:13">
      <c r="A195" t="s">
        <v>515</v>
      </c>
      <c r="B195" t="s">
        <v>516</v>
      </c>
      <c r="C195" t="s">
        <v>219</v>
      </c>
      <c r="D195" t="s">
        <v>90</v>
      </c>
      <c r="E195" t="s">
        <v>86</v>
      </c>
      <c r="F195" t="s">
        <v>5</v>
      </c>
      <c r="G195">
        <v>2</v>
      </c>
      <c r="H195">
        <v>45000</v>
      </c>
      <c r="I195">
        <v>0</v>
      </c>
      <c r="J195">
        <v>90000</v>
      </c>
      <c r="K195">
        <v>36734.83</v>
      </c>
      <c r="L195" t="s">
        <v>48</v>
      </c>
      <c r="M195" t="str">
        <f t="shared" ref="M195:M258" si="3">TEXT(B195,"mmm")</f>
        <v>Apr</v>
      </c>
    </row>
    <row r="196" spans="1:13">
      <c r="A196" t="s">
        <v>517</v>
      </c>
      <c r="B196" t="s">
        <v>518</v>
      </c>
      <c r="C196" t="s">
        <v>78</v>
      </c>
      <c r="D196" t="s">
        <v>85</v>
      </c>
      <c r="E196" t="s">
        <v>86</v>
      </c>
      <c r="F196" t="s">
        <v>2</v>
      </c>
      <c r="G196">
        <v>2</v>
      </c>
      <c r="H196">
        <v>12000</v>
      </c>
      <c r="I196">
        <v>0.15</v>
      </c>
      <c r="J196">
        <v>20400</v>
      </c>
      <c r="K196">
        <v>4758.8599999999997</v>
      </c>
      <c r="L196" t="s">
        <v>58</v>
      </c>
      <c r="M196" t="str">
        <f t="shared" si="3"/>
        <v>Nov</v>
      </c>
    </row>
    <row r="197" spans="1:13">
      <c r="A197" t="s">
        <v>519</v>
      </c>
      <c r="B197" t="s">
        <v>437</v>
      </c>
      <c r="C197" t="s">
        <v>147</v>
      </c>
      <c r="D197" t="s">
        <v>90</v>
      </c>
      <c r="E197" t="s">
        <v>86</v>
      </c>
      <c r="F197" t="s">
        <v>4</v>
      </c>
      <c r="G197">
        <v>4</v>
      </c>
      <c r="H197">
        <v>45000</v>
      </c>
      <c r="I197">
        <v>0.05</v>
      </c>
      <c r="J197">
        <v>171000</v>
      </c>
      <c r="K197">
        <v>39128.76</v>
      </c>
      <c r="L197" t="s">
        <v>91</v>
      </c>
      <c r="M197" t="str">
        <f t="shared" si="3"/>
        <v>Jan</v>
      </c>
    </row>
    <row r="198" spans="1:13">
      <c r="A198" t="s">
        <v>520</v>
      </c>
      <c r="B198" t="s">
        <v>521</v>
      </c>
      <c r="C198" t="s">
        <v>199</v>
      </c>
      <c r="D198" t="s">
        <v>90</v>
      </c>
      <c r="E198" t="s">
        <v>86</v>
      </c>
      <c r="F198" t="s">
        <v>2</v>
      </c>
      <c r="G198">
        <v>5</v>
      </c>
      <c r="H198">
        <v>45000</v>
      </c>
      <c r="I198">
        <v>0</v>
      </c>
      <c r="J198">
        <v>225000</v>
      </c>
      <c r="K198">
        <v>82449.83</v>
      </c>
      <c r="L198" t="s">
        <v>91</v>
      </c>
      <c r="M198" t="str">
        <f t="shared" si="3"/>
        <v>Apr</v>
      </c>
    </row>
    <row r="199" spans="1:13">
      <c r="A199" t="s">
        <v>522</v>
      </c>
      <c r="B199" t="s">
        <v>523</v>
      </c>
      <c r="C199" t="s">
        <v>501</v>
      </c>
      <c r="D199" t="s">
        <v>52</v>
      </c>
      <c r="E199" t="s">
        <v>47</v>
      </c>
      <c r="F199" t="s">
        <v>3</v>
      </c>
      <c r="G199">
        <v>4</v>
      </c>
      <c r="H199">
        <v>55000</v>
      </c>
      <c r="I199">
        <v>0.05</v>
      </c>
      <c r="J199">
        <v>209000</v>
      </c>
      <c r="K199">
        <v>41779.43</v>
      </c>
      <c r="L199" t="s">
        <v>71</v>
      </c>
      <c r="M199" t="str">
        <f t="shared" si="3"/>
        <v>Aug</v>
      </c>
    </row>
    <row r="200" spans="1:13">
      <c r="A200" t="s">
        <v>524</v>
      </c>
      <c r="B200" t="s">
        <v>525</v>
      </c>
      <c r="C200" t="s">
        <v>268</v>
      </c>
      <c r="D200" t="s">
        <v>110</v>
      </c>
      <c r="E200" t="s">
        <v>47</v>
      </c>
      <c r="F200" t="s">
        <v>4</v>
      </c>
      <c r="G200">
        <v>5</v>
      </c>
      <c r="H200">
        <v>85000</v>
      </c>
      <c r="I200">
        <v>0</v>
      </c>
      <c r="J200">
        <v>425000</v>
      </c>
      <c r="K200">
        <v>91073.03</v>
      </c>
      <c r="L200" t="s">
        <v>91</v>
      </c>
      <c r="M200" t="str">
        <f t="shared" si="3"/>
        <v>Apr</v>
      </c>
    </row>
    <row r="201" spans="1:13">
      <c r="A201" t="s">
        <v>526</v>
      </c>
      <c r="B201" t="s">
        <v>503</v>
      </c>
      <c r="C201" t="s">
        <v>78</v>
      </c>
      <c r="D201" t="s">
        <v>56</v>
      </c>
      <c r="E201" t="s">
        <v>57</v>
      </c>
      <c r="F201" t="s">
        <v>6</v>
      </c>
      <c r="G201">
        <v>5</v>
      </c>
      <c r="H201">
        <v>210000</v>
      </c>
      <c r="I201">
        <v>0</v>
      </c>
      <c r="J201">
        <v>1050000</v>
      </c>
      <c r="K201">
        <v>391684.64</v>
      </c>
      <c r="L201" t="s">
        <v>71</v>
      </c>
      <c r="M201" t="str">
        <f t="shared" si="3"/>
        <v>Feb</v>
      </c>
    </row>
    <row r="202" spans="1:13">
      <c r="A202" t="s">
        <v>527</v>
      </c>
      <c r="B202" t="s">
        <v>231</v>
      </c>
      <c r="C202" t="s">
        <v>236</v>
      </c>
      <c r="D202" t="s">
        <v>56</v>
      </c>
      <c r="E202" t="s">
        <v>57</v>
      </c>
      <c r="F202" t="s">
        <v>4</v>
      </c>
      <c r="G202">
        <v>4</v>
      </c>
      <c r="H202">
        <v>210000</v>
      </c>
      <c r="I202">
        <v>0</v>
      </c>
      <c r="J202">
        <v>840000</v>
      </c>
      <c r="K202">
        <v>163353.47</v>
      </c>
      <c r="L202" t="s">
        <v>91</v>
      </c>
      <c r="M202" t="str">
        <f t="shared" si="3"/>
        <v>Mar</v>
      </c>
    </row>
    <row r="203" spans="1:13">
      <c r="A203" t="s">
        <v>528</v>
      </c>
      <c r="B203" t="s">
        <v>233</v>
      </c>
      <c r="C203" t="s">
        <v>147</v>
      </c>
      <c r="D203" t="s">
        <v>129</v>
      </c>
      <c r="E203" t="s">
        <v>47</v>
      </c>
      <c r="F203" t="s">
        <v>4</v>
      </c>
      <c r="G203">
        <v>1</v>
      </c>
      <c r="H203">
        <v>650000</v>
      </c>
      <c r="I203">
        <v>0.1</v>
      </c>
      <c r="J203">
        <v>585000</v>
      </c>
      <c r="K203">
        <v>139397.75</v>
      </c>
      <c r="L203" t="s">
        <v>48</v>
      </c>
      <c r="M203" t="str">
        <f t="shared" si="3"/>
        <v>Aug</v>
      </c>
    </row>
    <row r="204" spans="1:13">
      <c r="A204" t="s">
        <v>529</v>
      </c>
      <c r="B204" t="s">
        <v>530</v>
      </c>
      <c r="C204" t="s">
        <v>196</v>
      </c>
      <c r="D204" t="s">
        <v>85</v>
      </c>
      <c r="E204" t="s">
        <v>86</v>
      </c>
      <c r="F204" t="s">
        <v>2</v>
      </c>
      <c r="G204">
        <v>1</v>
      </c>
      <c r="H204">
        <v>12000</v>
      </c>
      <c r="I204">
        <v>0.05</v>
      </c>
      <c r="J204">
        <v>11400</v>
      </c>
      <c r="K204">
        <v>1784.12</v>
      </c>
      <c r="L204" t="s">
        <v>58</v>
      </c>
      <c r="M204" t="str">
        <f t="shared" si="3"/>
        <v>Apr</v>
      </c>
    </row>
    <row r="205" spans="1:13">
      <c r="A205" t="s">
        <v>531</v>
      </c>
      <c r="B205" t="s">
        <v>532</v>
      </c>
      <c r="C205" t="s">
        <v>199</v>
      </c>
      <c r="D205" t="s">
        <v>129</v>
      </c>
      <c r="E205" t="s">
        <v>47</v>
      </c>
      <c r="F205" t="s">
        <v>4</v>
      </c>
      <c r="G205">
        <v>4</v>
      </c>
      <c r="H205">
        <v>650000</v>
      </c>
      <c r="I205">
        <v>0.2</v>
      </c>
      <c r="J205">
        <v>2080000</v>
      </c>
      <c r="K205">
        <v>66560.44</v>
      </c>
      <c r="L205" t="s">
        <v>48</v>
      </c>
      <c r="M205" t="str">
        <f t="shared" si="3"/>
        <v>May</v>
      </c>
    </row>
    <row r="206" spans="1:13">
      <c r="A206" t="s">
        <v>533</v>
      </c>
      <c r="B206" t="s">
        <v>113</v>
      </c>
      <c r="C206" t="s">
        <v>242</v>
      </c>
      <c r="D206" t="s">
        <v>46</v>
      </c>
      <c r="E206" t="s">
        <v>47</v>
      </c>
      <c r="F206" t="s">
        <v>3</v>
      </c>
      <c r="G206">
        <v>3</v>
      </c>
      <c r="H206">
        <v>420000</v>
      </c>
      <c r="I206">
        <v>0</v>
      </c>
      <c r="J206">
        <v>1260000</v>
      </c>
      <c r="K206">
        <v>282945.55</v>
      </c>
      <c r="L206" t="s">
        <v>71</v>
      </c>
      <c r="M206" t="str">
        <f t="shared" si="3"/>
        <v>Jan</v>
      </c>
    </row>
    <row r="207" spans="1:13">
      <c r="A207" t="s">
        <v>534</v>
      </c>
      <c r="B207" t="s">
        <v>332</v>
      </c>
      <c r="C207" t="s">
        <v>535</v>
      </c>
      <c r="D207" t="s">
        <v>46</v>
      </c>
      <c r="E207" t="s">
        <v>47</v>
      </c>
      <c r="F207" t="s">
        <v>4</v>
      </c>
      <c r="G207">
        <v>2</v>
      </c>
      <c r="H207">
        <v>420000</v>
      </c>
      <c r="I207">
        <v>0.05</v>
      </c>
      <c r="J207">
        <v>798000</v>
      </c>
      <c r="K207">
        <v>308364.79999999999</v>
      </c>
      <c r="L207" t="s">
        <v>71</v>
      </c>
      <c r="M207" t="str">
        <f t="shared" si="3"/>
        <v>May</v>
      </c>
    </row>
    <row r="208" spans="1:13">
      <c r="A208" t="s">
        <v>536</v>
      </c>
      <c r="B208" t="s">
        <v>431</v>
      </c>
      <c r="C208" t="s">
        <v>537</v>
      </c>
      <c r="D208" t="s">
        <v>46</v>
      </c>
      <c r="E208" t="s">
        <v>47</v>
      </c>
      <c r="F208" t="s">
        <v>3</v>
      </c>
      <c r="G208">
        <v>4</v>
      </c>
      <c r="H208">
        <v>420000</v>
      </c>
      <c r="I208">
        <v>0.15</v>
      </c>
      <c r="J208">
        <v>1428000</v>
      </c>
      <c r="K208">
        <v>260846</v>
      </c>
      <c r="L208" t="s">
        <v>58</v>
      </c>
      <c r="M208" t="str">
        <f t="shared" si="3"/>
        <v>Feb</v>
      </c>
    </row>
    <row r="209" spans="1:13">
      <c r="A209" t="s">
        <v>538</v>
      </c>
      <c r="B209" t="s">
        <v>539</v>
      </c>
      <c r="C209" t="s">
        <v>535</v>
      </c>
      <c r="D209" t="s">
        <v>110</v>
      </c>
      <c r="E209" t="s">
        <v>47</v>
      </c>
      <c r="F209" t="s">
        <v>3</v>
      </c>
      <c r="G209">
        <v>4</v>
      </c>
      <c r="H209">
        <v>85000</v>
      </c>
      <c r="I209">
        <v>0</v>
      </c>
      <c r="J209">
        <v>340000</v>
      </c>
      <c r="K209">
        <v>96560.48</v>
      </c>
      <c r="L209" t="s">
        <v>71</v>
      </c>
      <c r="M209" t="str">
        <f t="shared" si="3"/>
        <v>May</v>
      </c>
    </row>
    <row r="210" spans="1:13">
      <c r="A210" t="s">
        <v>540</v>
      </c>
      <c r="B210" t="s">
        <v>541</v>
      </c>
      <c r="C210" t="s">
        <v>117</v>
      </c>
      <c r="D210" t="s">
        <v>110</v>
      </c>
      <c r="E210" t="s">
        <v>47</v>
      </c>
      <c r="F210" t="s">
        <v>3</v>
      </c>
      <c r="G210">
        <v>1</v>
      </c>
      <c r="H210">
        <v>85000</v>
      </c>
      <c r="I210">
        <v>0.15</v>
      </c>
      <c r="J210">
        <v>72250</v>
      </c>
      <c r="K210">
        <v>3131.68</v>
      </c>
      <c r="L210" t="s">
        <v>48</v>
      </c>
      <c r="M210" t="str">
        <f t="shared" si="3"/>
        <v>Dec</v>
      </c>
    </row>
    <row r="211" spans="1:13">
      <c r="A211" t="s">
        <v>542</v>
      </c>
      <c r="B211" t="s">
        <v>543</v>
      </c>
      <c r="C211" t="s">
        <v>123</v>
      </c>
      <c r="D211" t="s">
        <v>62</v>
      </c>
      <c r="E211" t="s">
        <v>47</v>
      </c>
      <c r="F211" t="s">
        <v>6</v>
      </c>
      <c r="G211">
        <v>1</v>
      </c>
      <c r="H211">
        <v>180000</v>
      </c>
      <c r="I211">
        <v>0.2</v>
      </c>
      <c r="J211">
        <v>144000</v>
      </c>
      <c r="K211">
        <v>26197.57</v>
      </c>
      <c r="L211" t="s">
        <v>48</v>
      </c>
      <c r="M211" t="str">
        <f t="shared" si="3"/>
        <v>Aug</v>
      </c>
    </row>
    <row r="212" spans="1:13">
      <c r="A212" t="s">
        <v>544</v>
      </c>
      <c r="B212" t="s">
        <v>451</v>
      </c>
      <c r="C212" t="s">
        <v>45</v>
      </c>
      <c r="D212" t="s">
        <v>85</v>
      </c>
      <c r="E212" t="s">
        <v>86</v>
      </c>
      <c r="F212" t="s">
        <v>3</v>
      </c>
      <c r="G212">
        <v>3</v>
      </c>
      <c r="H212">
        <v>12000</v>
      </c>
      <c r="I212">
        <v>0</v>
      </c>
      <c r="J212">
        <v>36000</v>
      </c>
      <c r="K212">
        <v>9075.81</v>
      </c>
      <c r="L212" t="s">
        <v>91</v>
      </c>
      <c r="M212" t="str">
        <f t="shared" si="3"/>
        <v>Feb</v>
      </c>
    </row>
    <row r="213" spans="1:13">
      <c r="A213" t="s">
        <v>545</v>
      </c>
      <c r="B213" t="s">
        <v>437</v>
      </c>
      <c r="C213" t="s">
        <v>222</v>
      </c>
      <c r="D213" t="s">
        <v>110</v>
      </c>
      <c r="E213" t="s">
        <v>47</v>
      </c>
      <c r="F213" t="s">
        <v>4</v>
      </c>
      <c r="G213">
        <v>3</v>
      </c>
      <c r="H213">
        <v>85000</v>
      </c>
      <c r="I213">
        <v>0</v>
      </c>
      <c r="J213">
        <v>216750</v>
      </c>
      <c r="K213">
        <v>53191.02</v>
      </c>
      <c r="L213" t="s">
        <v>71</v>
      </c>
      <c r="M213" t="str">
        <f t="shared" si="3"/>
        <v>Jan</v>
      </c>
    </row>
    <row r="214" spans="1:13">
      <c r="A214" t="s">
        <v>546</v>
      </c>
      <c r="B214" t="s">
        <v>547</v>
      </c>
      <c r="C214" t="s">
        <v>482</v>
      </c>
      <c r="D214" t="s">
        <v>110</v>
      </c>
      <c r="E214" t="s">
        <v>47</v>
      </c>
      <c r="F214" t="s">
        <v>5</v>
      </c>
      <c r="G214">
        <v>1</v>
      </c>
      <c r="H214">
        <v>85000</v>
      </c>
      <c r="I214">
        <v>0.2</v>
      </c>
      <c r="J214">
        <v>68000</v>
      </c>
      <c r="K214">
        <v>3436.43</v>
      </c>
      <c r="L214" t="s">
        <v>91</v>
      </c>
      <c r="M214" t="str">
        <f t="shared" si="3"/>
        <v>Mar</v>
      </c>
    </row>
    <row r="215" spans="1:13">
      <c r="A215" t="s">
        <v>548</v>
      </c>
      <c r="B215" t="s">
        <v>437</v>
      </c>
      <c r="C215" t="s">
        <v>358</v>
      </c>
      <c r="D215" t="s">
        <v>118</v>
      </c>
      <c r="E215" t="s">
        <v>57</v>
      </c>
      <c r="F215" t="s">
        <v>3</v>
      </c>
      <c r="G215">
        <v>2</v>
      </c>
      <c r="H215">
        <v>120000</v>
      </c>
      <c r="I215">
        <v>0</v>
      </c>
      <c r="J215">
        <v>240000</v>
      </c>
      <c r="K215">
        <v>87549.39</v>
      </c>
      <c r="L215" t="s">
        <v>71</v>
      </c>
      <c r="M215" t="str">
        <f t="shared" si="3"/>
        <v>Jan</v>
      </c>
    </row>
    <row r="216" spans="1:13">
      <c r="A216" t="s">
        <v>549</v>
      </c>
      <c r="B216" t="s">
        <v>134</v>
      </c>
      <c r="C216" t="s">
        <v>298</v>
      </c>
      <c r="D216" t="s">
        <v>56</v>
      </c>
      <c r="E216" t="s">
        <v>57</v>
      </c>
      <c r="F216" t="s">
        <v>6</v>
      </c>
      <c r="G216">
        <v>3</v>
      </c>
      <c r="H216">
        <v>210000</v>
      </c>
      <c r="I216">
        <v>0</v>
      </c>
      <c r="J216">
        <v>630000</v>
      </c>
      <c r="K216">
        <v>155365.21</v>
      </c>
      <c r="L216" t="s">
        <v>91</v>
      </c>
      <c r="M216" t="str">
        <f t="shared" si="3"/>
        <v>Aug</v>
      </c>
    </row>
    <row r="217" spans="1:13">
      <c r="A217" t="s">
        <v>550</v>
      </c>
      <c r="B217" t="s">
        <v>551</v>
      </c>
      <c r="C217" t="s">
        <v>187</v>
      </c>
      <c r="D217" t="s">
        <v>129</v>
      </c>
      <c r="E217" t="s">
        <v>47</v>
      </c>
      <c r="F217" t="s">
        <v>4</v>
      </c>
      <c r="G217">
        <v>3</v>
      </c>
      <c r="H217">
        <v>650000</v>
      </c>
      <c r="I217">
        <v>0.05</v>
      </c>
      <c r="J217">
        <v>1852500</v>
      </c>
      <c r="K217">
        <v>714463.91</v>
      </c>
      <c r="L217" t="s">
        <v>71</v>
      </c>
      <c r="M217" t="str">
        <f t="shared" si="3"/>
        <v>Dec</v>
      </c>
    </row>
    <row r="218" spans="1:13">
      <c r="A218" t="s">
        <v>552</v>
      </c>
      <c r="B218" t="s">
        <v>553</v>
      </c>
      <c r="C218" t="s">
        <v>386</v>
      </c>
      <c r="D218" t="s">
        <v>90</v>
      </c>
      <c r="E218" t="s">
        <v>86</v>
      </c>
      <c r="F218" t="s">
        <v>6</v>
      </c>
      <c r="G218">
        <v>3</v>
      </c>
      <c r="H218">
        <v>45000</v>
      </c>
      <c r="I218">
        <v>0</v>
      </c>
      <c r="J218">
        <v>135000</v>
      </c>
      <c r="K218">
        <v>42663.39</v>
      </c>
      <c r="L218" t="s">
        <v>91</v>
      </c>
      <c r="M218" t="str">
        <f t="shared" si="3"/>
        <v>Jul</v>
      </c>
    </row>
    <row r="219" spans="1:13">
      <c r="A219" t="s">
        <v>554</v>
      </c>
      <c r="B219" t="s">
        <v>555</v>
      </c>
      <c r="C219" t="s">
        <v>263</v>
      </c>
      <c r="D219" t="s">
        <v>46</v>
      </c>
      <c r="E219" t="s">
        <v>47</v>
      </c>
      <c r="F219" t="s">
        <v>3</v>
      </c>
      <c r="G219">
        <v>1</v>
      </c>
      <c r="H219">
        <v>420000</v>
      </c>
      <c r="I219">
        <v>0.1</v>
      </c>
      <c r="J219">
        <v>378000</v>
      </c>
      <c r="K219">
        <v>78681.8</v>
      </c>
      <c r="L219" t="s">
        <v>91</v>
      </c>
      <c r="M219" t="str">
        <f t="shared" si="3"/>
        <v>Aug</v>
      </c>
    </row>
    <row r="220" spans="1:13">
      <c r="A220" t="s">
        <v>556</v>
      </c>
      <c r="B220" t="s">
        <v>503</v>
      </c>
      <c r="C220" t="s">
        <v>114</v>
      </c>
      <c r="D220" t="s">
        <v>85</v>
      </c>
      <c r="E220" t="s">
        <v>86</v>
      </c>
      <c r="F220" t="s">
        <v>4</v>
      </c>
      <c r="G220">
        <v>1</v>
      </c>
      <c r="H220">
        <v>12000</v>
      </c>
      <c r="I220">
        <v>0.05</v>
      </c>
      <c r="J220">
        <v>11400</v>
      </c>
      <c r="K220">
        <v>2658.62</v>
      </c>
      <c r="L220" t="s">
        <v>71</v>
      </c>
      <c r="M220" t="str">
        <f t="shared" si="3"/>
        <v>Feb</v>
      </c>
    </row>
    <row r="221" spans="1:13">
      <c r="A221" t="s">
        <v>557</v>
      </c>
      <c r="B221" t="s">
        <v>309</v>
      </c>
      <c r="C221" t="s">
        <v>558</v>
      </c>
      <c r="D221" t="s">
        <v>110</v>
      </c>
      <c r="E221" t="s">
        <v>47</v>
      </c>
      <c r="F221" t="s">
        <v>3</v>
      </c>
      <c r="G221">
        <v>4</v>
      </c>
      <c r="H221">
        <v>85000</v>
      </c>
      <c r="I221">
        <v>0.05</v>
      </c>
      <c r="J221">
        <v>323000</v>
      </c>
      <c r="K221">
        <v>94953.5</v>
      </c>
      <c r="L221" t="s">
        <v>71</v>
      </c>
      <c r="M221" t="str">
        <f t="shared" si="3"/>
        <v>Dec</v>
      </c>
    </row>
    <row r="222" spans="1:13">
      <c r="A222" t="s">
        <v>559</v>
      </c>
      <c r="B222" t="s">
        <v>80</v>
      </c>
      <c r="C222" t="s">
        <v>352</v>
      </c>
      <c r="D222" t="s">
        <v>75</v>
      </c>
      <c r="E222" t="s">
        <v>57</v>
      </c>
      <c r="F222" t="s">
        <v>6</v>
      </c>
      <c r="G222">
        <v>1</v>
      </c>
      <c r="H222">
        <v>35000</v>
      </c>
      <c r="I222">
        <v>0</v>
      </c>
      <c r="J222">
        <v>35000</v>
      </c>
      <c r="K222">
        <v>9407.31</v>
      </c>
      <c r="L222" t="s">
        <v>58</v>
      </c>
      <c r="M222" t="str">
        <f t="shared" si="3"/>
        <v>Nov</v>
      </c>
    </row>
    <row r="223" spans="1:13">
      <c r="A223" t="s">
        <v>560</v>
      </c>
      <c r="B223" t="s">
        <v>561</v>
      </c>
      <c r="C223" t="s">
        <v>128</v>
      </c>
      <c r="D223" t="s">
        <v>129</v>
      </c>
      <c r="E223" t="s">
        <v>47</v>
      </c>
      <c r="F223" t="s">
        <v>2</v>
      </c>
      <c r="G223">
        <v>5</v>
      </c>
      <c r="H223">
        <v>650000</v>
      </c>
      <c r="I223">
        <v>0.2</v>
      </c>
      <c r="J223">
        <v>2600000</v>
      </c>
      <c r="K223">
        <v>126898.75</v>
      </c>
      <c r="L223" t="s">
        <v>48</v>
      </c>
      <c r="M223" t="str">
        <f t="shared" si="3"/>
        <v>Mar</v>
      </c>
    </row>
    <row r="224" spans="1:13">
      <c r="A224" t="s">
        <v>562</v>
      </c>
      <c r="B224" t="s">
        <v>563</v>
      </c>
      <c r="C224" t="s">
        <v>84</v>
      </c>
      <c r="D224" t="s">
        <v>118</v>
      </c>
      <c r="E224" t="s">
        <v>57</v>
      </c>
      <c r="F224" t="s">
        <v>5</v>
      </c>
      <c r="G224">
        <v>3</v>
      </c>
      <c r="H224">
        <v>120000</v>
      </c>
      <c r="I224">
        <v>0.05</v>
      </c>
      <c r="J224">
        <v>342000</v>
      </c>
      <c r="K224">
        <v>106786.55</v>
      </c>
      <c r="L224" t="s">
        <v>58</v>
      </c>
      <c r="M224" t="str">
        <f t="shared" si="3"/>
        <v>Nov</v>
      </c>
    </row>
    <row r="225" spans="1:13">
      <c r="A225" t="s">
        <v>564</v>
      </c>
      <c r="B225" t="s">
        <v>565</v>
      </c>
      <c r="C225" t="s">
        <v>566</v>
      </c>
      <c r="D225" t="s">
        <v>90</v>
      </c>
      <c r="E225" t="s">
        <v>86</v>
      </c>
      <c r="F225" t="s">
        <v>2</v>
      </c>
      <c r="G225">
        <v>3</v>
      </c>
      <c r="H225">
        <v>45000</v>
      </c>
      <c r="I225">
        <v>0.1</v>
      </c>
      <c r="J225">
        <v>121500</v>
      </c>
      <c r="K225">
        <v>19435.57</v>
      </c>
      <c r="L225" t="s">
        <v>91</v>
      </c>
      <c r="M225" t="str">
        <f t="shared" si="3"/>
        <v>Jul</v>
      </c>
    </row>
    <row r="226" spans="1:13">
      <c r="A226" t="s">
        <v>567</v>
      </c>
      <c r="B226" t="s">
        <v>568</v>
      </c>
      <c r="C226" t="s">
        <v>569</v>
      </c>
      <c r="D226" t="s">
        <v>62</v>
      </c>
      <c r="E226" t="s">
        <v>47</v>
      </c>
      <c r="F226" t="s">
        <v>2</v>
      </c>
      <c r="G226">
        <v>3</v>
      </c>
      <c r="H226">
        <v>180000</v>
      </c>
      <c r="I226">
        <v>0</v>
      </c>
      <c r="J226">
        <v>540000</v>
      </c>
      <c r="K226">
        <v>102956.18</v>
      </c>
      <c r="L226" t="s">
        <v>71</v>
      </c>
      <c r="M226" t="str">
        <f t="shared" si="3"/>
        <v>Jun</v>
      </c>
    </row>
    <row r="227" spans="1:13">
      <c r="A227" t="s">
        <v>570</v>
      </c>
      <c r="B227" t="s">
        <v>571</v>
      </c>
      <c r="C227" t="s">
        <v>295</v>
      </c>
      <c r="D227" t="s">
        <v>56</v>
      </c>
      <c r="E227" t="s">
        <v>57</v>
      </c>
      <c r="F227" t="s">
        <v>4</v>
      </c>
      <c r="G227">
        <v>5</v>
      </c>
      <c r="H227">
        <v>210000</v>
      </c>
      <c r="I227">
        <v>0</v>
      </c>
      <c r="J227">
        <v>1050000</v>
      </c>
      <c r="K227">
        <v>398286.31</v>
      </c>
      <c r="L227" t="s">
        <v>58</v>
      </c>
      <c r="M227" t="str">
        <f t="shared" si="3"/>
        <v>Jul</v>
      </c>
    </row>
    <row r="228" spans="1:13">
      <c r="A228" t="s">
        <v>572</v>
      </c>
      <c r="B228" t="s">
        <v>532</v>
      </c>
      <c r="C228" t="s">
        <v>320</v>
      </c>
      <c r="D228" t="s">
        <v>52</v>
      </c>
      <c r="E228" t="s">
        <v>47</v>
      </c>
      <c r="F228" t="s">
        <v>4</v>
      </c>
      <c r="G228">
        <v>4</v>
      </c>
      <c r="H228">
        <v>55000</v>
      </c>
      <c r="I228">
        <v>0</v>
      </c>
      <c r="J228">
        <v>220000</v>
      </c>
      <c r="K228">
        <v>91715.34</v>
      </c>
      <c r="L228" t="s">
        <v>58</v>
      </c>
      <c r="M228" t="str">
        <f t="shared" si="3"/>
        <v>May</v>
      </c>
    </row>
    <row r="229" spans="1:13">
      <c r="A229" t="s">
        <v>573</v>
      </c>
      <c r="B229" t="s">
        <v>574</v>
      </c>
      <c r="C229" t="s">
        <v>575</v>
      </c>
      <c r="D229" t="s">
        <v>90</v>
      </c>
      <c r="E229" t="s">
        <v>86</v>
      </c>
      <c r="F229" t="s">
        <v>3</v>
      </c>
      <c r="G229">
        <v>3</v>
      </c>
      <c r="H229">
        <v>45000</v>
      </c>
      <c r="I229">
        <v>0.2</v>
      </c>
      <c r="J229">
        <v>108000</v>
      </c>
      <c r="K229">
        <v>21086.35</v>
      </c>
      <c r="L229" t="s">
        <v>91</v>
      </c>
      <c r="M229" t="str">
        <f t="shared" si="3"/>
        <v>Feb</v>
      </c>
    </row>
    <row r="230" spans="1:13">
      <c r="A230" t="s">
        <v>576</v>
      </c>
      <c r="B230" t="s">
        <v>390</v>
      </c>
      <c r="C230" t="s">
        <v>455</v>
      </c>
      <c r="D230" t="s">
        <v>75</v>
      </c>
      <c r="E230" t="s">
        <v>57</v>
      </c>
      <c r="F230" t="s">
        <v>2</v>
      </c>
      <c r="G230">
        <v>2</v>
      </c>
      <c r="H230">
        <v>35000</v>
      </c>
      <c r="I230">
        <v>0.05</v>
      </c>
      <c r="J230">
        <v>66500</v>
      </c>
      <c r="K230">
        <v>18384.52</v>
      </c>
      <c r="L230" t="s">
        <v>58</v>
      </c>
      <c r="M230" t="str">
        <f t="shared" si="3"/>
        <v>Mar</v>
      </c>
    </row>
    <row r="231" spans="1:13">
      <c r="A231" t="s">
        <v>577</v>
      </c>
      <c r="B231" t="s">
        <v>578</v>
      </c>
      <c r="C231" t="s">
        <v>187</v>
      </c>
      <c r="D231" t="s">
        <v>118</v>
      </c>
      <c r="E231" t="s">
        <v>57</v>
      </c>
      <c r="F231" t="s">
        <v>4</v>
      </c>
      <c r="G231">
        <v>1</v>
      </c>
      <c r="H231">
        <v>120000</v>
      </c>
      <c r="I231">
        <v>0.05</v>
      </c>
      <c r="J231">
        <v>114000</v>
      </c>
      <c r="K231">
        <v>30049.71</v>
      </c>
      <c r="L231" t="s">
        <v>58</v>
      </c>
      <c r="M231" t="str">
        <f t="shared" si="3"/>
        <v>Sep</v>
      </c>
    </row>
    <row r="232" spans="1:13">
      <c r="A232" t="s">
        <v>579</v>
      </c>
      <c r="B232" t="s">
        <v>574</v>
      </c>
      <c r="C232" t="s">
        <v>580</v>
      </c>
      <c r="D232" t="s">
        <v>52</v>
      </c>
      <c r="E232" t="s">
        <v>47</v>
      </c>
      <c r="F232" t="s">
        <v>3</v>
      </c>
      <c r="G232">
        <v>1</v>
      </c>
      <c r="H232">
        <v>55000</v>
      </c>
      <c r="I232">
        <v>0.05</v>
      </c>
      <c r="J232">
        <v>52250</v>
      </c>
      <c r="K232">
        <v>16087.32</v>
      </c>
      <c r="L232" t="s">
        <v>71</v>
      </c>
      <c r="M232" t="str">
        <f t="shared" si="3"/>
        <v>Feb</v>
      </c>
    </row>
    <row r="233" spans="1:13">
      <c r="A233" t="s">
        <v>581</v>
      </c>
      <c r="B233" t="s">
        <v>582</v>
      </c>
      <c r="C233" t="s">
        <v>320</v>
      </c>
      <c r="D233" t="s">
        <v>62</v>
      </c>
      <c r="E233" t="s">
        <v>47</v>
      </c>
      <c r="F233" t="s">
        <v>4</v>
      </c>
      <c r="G233">
        <v>1</v>
      </c>
      <c r="H233">
        <v>180000</v>
      </c>
      <c r="I233">
        <v>0</v>
      </c>
      <c r="J233">
        <v>180000</v>
      </c>
      <c r="K233">
        <v>33742.35</v>
      </c>
      <c r="L233" t="s">
        <v>71</v>
      </c>
      <c r="M233" t="str">
        <f t="shared" si="3"/>
        <v>Oct</v>
      </c>
    </row>
    <row r="234" spans="1:13">
      <c r="A234" t="s">
        <v>583</v>
      </c>
      <c r="B234" t="s">
        <v>584</v>
      </c>
      <c r="C234" t="s">
        <v>263</v>
      </c>
      <c r="D234" t="s">
        <v>56</v>
      </c>
      <c r="E234" t="s">
        <v>57</v>
      </c>
      <c r="F234" t="s">
        <v>2</v>
      </c>
      <c r="G234">
        <v>2</v>
      </c>
      <c r="H234">
        <v>210000</v>
      </c>
      <c r="I234">
        <v>0.15</v>
      </c>
      <c r="J234">
        <v>357000</v>
      </c>
      <c r="K234">
        <v>53447.37</v>
      </c>
      <c r="L234" t="s">
        <v>71</v>
      </c>
      <c r="M234" t="str">
        <f t="shared" si="3"/>
        <v>Jun</v>
      </c>
    </row>
    <row r="235" spans="1:13">
      <c r="A235" t="s">
        <v>585</v>
      </c>
      <c r="B235" t="s">
        <v>586</v>
      </c>
      <c r="C235" t="s">
        <v>150</v>
      </c>
      <c r="D235" t="s">
        <v>56</v>
      </c>
      <c r="E235" t="s">
        <v>57</v>
      </c>
      <c r="F235" t="s">
        <v>2</v>
      </c>
      <c r="G235">
        <v>1</v>
      </c>
      <c r="H235">
        <v>210000</v>
      </c>
      <c r="I235">
        <v>0.15</v>
      </c>
      <c r="J235">
        <v>178500</v>
      </c>
      <c r="K235">
        <v>54324.02</v>
      </c>
      <c r="L235" t="s">
        <v>91</v>
      </c>
      <c r="M235" t="str">
        <f t="shared" si="3"/>
        <v>Jan</v>
      </c>
    </row>
    <row r="236" spans="1:13">
      <c r="A236" t="s">
        <v>587</v>
      </c>
      <c r="B236" t="s">
        <v>588</v>
      </c>
      <c r="C236" t="s">
        <v>589</v>
      </c>
      <c r="D236" t="s">
        <v>118</v>
      </c>
      <c r="E236" t="s">
        <v>57</v>
      </c>
      <c r="F236" t="s">
        <v>2</v>
      </c>
      <c r="G236">
        <v>5</v>
      </c>
      <c r="H236">
        <v>120000</v>
      </c>
      <c r="I236">
        <v>0.05</v>
      </c>
      <c r="J236">
        <v>570000</v>
      </c>
      <c r="K236">
        <v>102958.74</v>
      </c>
      <c r="L236" t="s">
        <v>91</v>
      </c>
      <c r="M236" t="str">
        <f t="shared" si="3"/>
        <v>Jun</v>
      </c>
    </row>
    <row r="237" spans="1:13">
      <c r="A237" t="s">
        <v>590</v>
      </c>
      <c r="B237" t="s">
        <v>329</v>
      </c>
      <c r="C237" t="s">
        <v>501</v>
      </c>
      <c r="D237" t="s">
        <v>110</v>
      </c>
      <c r="E237" t="s">
        <v>47</v>
      </c>
      <c r="F237" t="s">
        <v>2</v>
      </c>
      <c r="G237">
        <v>3</v>
      </c>
      <c r="H237">
        <v>85000</v>
      </c>
      <c r="I237">
        <v>0.15</v>
      </c>
      <c r="J237">
        <v>216750</v>
      </c>
      <c r="K237">
        <v>39770.04</v>
      </c>
      <c r="L237" t="s">
        <v>58</v>
      </c>
      <c r="M237" t="str">
        <f t="shared" si="3"/>
        <v>Nov</v>
      </c>
    </row>
    <row r="238" spans="1:13">
      <c r="A238" t="s">
        <v>591</v>
      </c>
      <c r="B238" t="s">
        <v>120</v>
      </c>
      <c r="C238" t="s">
        <v>61</v>
      </c>
      <c r="D238" t="s">
        <v>110</v>
      </c>
      <c r="E238" t="s">
        <v>47</v>
      </c>
      <c r="F238" t="s">
        <v>3</v>
      </c>
      <c r="G238">
        <v>5</v>
      </c>
      <c r="H238">
        <v>85000</v>
      </c>
      <c r="I238">
        <v>0.2</v>
      </c>
      <c r="J238">
        <v>340000</v>
      </c>
      <c r="K238">
        <v>2745.4</v>
      </c>
      <c r="L238" t="s">
        <v>48</v>
      </c>
      <c r="M238" t="str">
        <f t="shared" si="3"/>
        <v>Dec</v>
      </c>
    </row>
    <row r="239" spans="1:13">
      <c r="A239" t="s">
        <v>592</v>
      </c>
      <c r="B239" t="s">
        <v>159</v>
      </c>
      <c r="C239" t="s">
        <v>208</v>
      </c>
      <c r="D239" t="s">
        <v>129</v>
      </c>
      <c r="E239" t="s">
        <v>47</v>
      </c>
      <c r="F239" t="s">
        <v>2</v>
      </c>
      <c r="G239">
        <v>1</v>
      </c>
      <c r="H239">
        <v>650000</v>
      </c>
      <c r="I239">
        <v>0.2</v>
      </c>
      <c r="J239">
        <v>520000</v>
      </c>
      <c r="K239">
        <v>27185.57</v>
      </c>
      <c r="L239" t="s">
        <v>71</v>
      </c>
      <c r="M239" t="str">
        <f t="shared" si="3"/>
        <v>Feb</v>
      </c>
    </row>
    <row r="240" spans="1:13">
      <c r="A240" t="s">
        <v>593</v>
      </c>
      <c r="B240" t="s">
        <v>80</v>
      </c>
      <c r="C240" t="s">
        <v>594</v>
      </c>
      <c r="D240" t="s">
        <v>52</v>
      </c>
      <c r="E240" t="s">
        <v>47</v>
      </c>
      <c r="F240" t="s">
        <v>6</v>
      </c>
      <c r="G240">
        <v>1</v>
      </c>
      <c r="H240">
        <v>55000</v>
      </c>
      <c r="I240">
        <v>0.1</v>
      </c>
      <c r="J240">
        <v>49500</v>
      </c>
      <c r="K240">
        <v>6048.4</v>
      </c>
      <c r="L240" t="s">
        <v>91</v>
      </c>
      <c r="M240" t="str">
        <f t="shared" si="3"/>
        <v>Nov</v>
      </c>
    </row>
    <row r="241" spans="1:13">
      <c r="A241" t="s">
        <v>595</v>
      </c>
      <c r="B241" t="s">
        <v>596</v>
      </c>
      <c r="C241" t="s">
        <v>327</v>
      </c>
      <c r="D241" t="s">
        <v>90</v>
      </c>
      <c r="E241" t="s">
        <v>86</v>
      </c>
      <c r="F241" t="s">
        <v>2</v>
      </c>
      <c r="G241">
        <v>4</v>
      </c>
      <c r="H241">
        <v>45000</v>
      </c>
      <c r="I241">
        <v>0.05</v>
      </c>
      <c r="J241">
        <v>171000</v>
      </c>
      <c r="K241">
        <v>49957.760000000002</v>
      </c>
      <c r="L241" t="s">
        <v>71</v>
      </c>
      <c r="M241" t="str">
        <f t="shared" si="3"/>
        <v>May</v>
      </c>
    </row>
    <row r="242" spans="1:13">
      <c r="A242" t="s">
        <v>597</v>
      </c>
      <c r="B242" t="s">
        <v>598</v>
      </c>
      <c r="C242" t="s">
        <v>599</v>
      </c>
      <c r="D242" t="s">
        <v>62</v>
      </c>
      <c r="E242" t="s">
        <v>47</v>
      </c>
      <c r="F242" t="s">
        <v>6</v>
      </c>
      <c r="G242">
        <v>4</v>
      </c>
      <c r="H242">
        <v>180000</v>
      </c>
      <c r="I242">
        <v>0</v>
      </c>
      <c r="J242">
        <v>720000</v>
      </c>
      <c r="K242">
        <v>257866.56</v>
      </c>
      <c r="L242" t="s">
        <v>91</v>
      </c>
      <c r="M242" t="str">
        <f t="shared" si="3"/>
        <v>Sep</v>
      </c>
    </row>
    <row r="243" spans="1:13">
      <c r="A243" t="s">
        <v>600</v>
      </c>
      <c r="B243" t="s">
        <v>601</v>
      </c>
      <c r="C243" t="s">
        <v>176</v>
      </c>
      <c r="D243" t="s">
        <v>85</v>
      </c>
      <c r="E243" t="s">
        <v>86</v>
      </c>
      <c r="F243" t="s">
        <v>6</v>
      </c>
      <c r="G243">
        <v>2</v>
      </c>
      <c r="H243">
        <v>12000</v>
      </c>
      <c r="I243">
        <v>0.05</v>
      </c>
      <c r="J243">
        <v>22800</v>
      </c>
      <c r="K243">
        <v>6262.93</v>
      </c>
      <c r="L243" t="s">
        <v>58</v>
      </c>
      <c r="M243" t="str">
        <f t="shared" si="3"/>
        <v>Jul</v>
      </c>
    </row>
    <row r="244" spans="1:13">
      <c r="A244" t="s">
        <v>602</v>
      </c>
      <c r="B244" t="s">
        <v>603</v>
      </c>
      <c r="C244" t="s">
        <v>452</v>
      </c>
      <c r="D244" t="s">
        <v>90</v>
      </c>
      <c r="E244" t="s">
        <v>86</v>
      </c>
      <c r="F244" t="s">
        <v>5</v>
      </c>
      <c r="G244">
        <v>3</v>
      </c>
      <c r="H244">
        <v>45000</v>
      </c>
      <c r="I244">
        <v>0.1</v>
      </c>
      <c r="J244">
        <v>121500</v>
      </c>
      <c r="K244">
        <v>38213.360000000001</v>
      </c>
      <c r="L244" t="s">
        <v>91</v>
      </c>
      <c r="M244" t="str">
        <f t="shared" si="3"/>
        <v>Mar</v>
      </c>
    </row>
    <row r="245" spans="1:13">
      <c r="A245" t="s">
        <v>604</v>
      </c>
      <c r="B245" t="s">
        <v>605</v>
      </c>
      <c r="C245" t="s">
        <v>103</v>
      </c>
      <c r="D245" t="s">
        <v>62</v>
      </c>
      <c r="E245" t="s">
        <v>47</v>
      </c>
      <c r="F245" t="s">
        <v>6</v>
      </c>
      <c r="G245">
        <v>4</v>
      </c>
      <c r="H245">
        <v>180000</v>
      </c>
      <c r="I245">
        <v>0</v>
      </c>
      <c r="J245">
        <v>720000</v>
      </c>
      <c r="K245">
        <v>136853.87</v>
      </c>
      <c r="L245" t="s">
        <v>91</v>
      </c>
      <c r="M245" t="str">
        <f t="shared" si="3"/>
        <v>Nov</v>
      </c>
    </row>
    <row r="246" spans="1:13">
      <c r="A246" t="s">
        <v>606</v>
      </c>
      <c r="B246" t="s">
        <v>198</v>
      </c>
      <c r="C246" t="s">
        <v>114</v>
      </c>
      <c r="D246" t="s">
        <v>118</v>
      </c>
      <c r="E246" t="s">
        <v>57</v>
      </c>
      <c r="F246" t="s">
        <v>4</v>
      </c>
      <c r="G246">
        <v>4</v>
      </c>
      <c r="H246">
        <v>120000</v>
      </c>
      <c r="I246">
        <v>0.15</v>
      </c>
      <c r="J246">
        <v>408000</v>
      </c>
      <c r="K246">
        <v>83500.759999999995</v>
      </c>
      <c r="L246" t="s">
        <v>48</v>
      </c>
      <c r="M246" t="str">
        <f t="shared" si="3"/>
        <v>Mar</v>
      </c>
    </row>
    <row r="247" spans="1:13">
      <c r="A247" t="s">
        <v>607</v>
      </c>
      <c r="B247" t="s">
        <v>608</v>
      </c>
      <c r="C247" t="s">
        <v>273</v>
      </c>
      <c r="D247" t="s">
        <v>46</v>
      </c>
      <c r="E247" t="s">
        <v>47</v>
      </c>
      <c r="F247" t="s">
        <v>3</v>
      </c>
      <c r="G247">
        <v>5</v>
      </c>
      <c r="H247">
        <v>420000</v>
      </c>
      <c r="I247">
        <v>0.1</v>
      </c>
      <c r="J247">
        <v>1890000</v>
      </c>
      <c r="K247">
        <v>186888.68</v>
      </c>
      <c r="L247" t="s">
        <v>91</v>
      </c>
      <c r="M247" t="str">
        <f t="shared" si="3"/>
        <v>Jul</v>
      </c>
    </row>
    <row r="248" spans="1:13">
      <c r="A248" t="s">
        <v>609</v>
      </c>
      <c r="B248" t="s">
        <v>157</v>
      </c>
      <c r="C248" t="s">
        <v>199</v>
      </c>
      <c r="D248" t="s">
        <v>129</v>
      </c>
      <c r="E248" t="s">
        <v>47</v>
      </c>
      <c r="F248" t="s">
        <v>6</v>
      </c>
      <c r="G248">
        <v>3</v>
      </c>
      <c r="H248">
        <v>650000</v>
      </c>
      <c r="I248">
        <v>0.1</v>
      </c>
      <c r="J248">
        <v>1755000</v>
      </c>
      <c r="K248">
        <v>367906.37</v>
      </c>
      <c r="L248" t="s">
        <v>48</v>
      </c>
      <c r="M248" t="str">
        <f t="shared" si="3"/>
        <v>Jan</v>
      </c>
    </row>
    <row r="249" spans="1:13">
      <c r="A249" t="s">
        <v>610</v>
      </c>
      <c r="B249" t="s">
        <v>215</v>
      </c>
      <c r="C249" t="s">
        <v>352</v>
      </c>
      <c r="D249" t="s">
        <v>46</v>
      </c>
      <c r="E249" t="s">
        <v>47</v>
      </c>
      <c r="F249" t="s">
        <v>6</v>
      </c>
      <c r="G249">
        <v>2</v>
      </c>
      <c r="H249">
        <v>420000</v>
      </c>
      <c r="I249">
        <v>0.05</v>
      </c>
      <c r="J249">
        <v>798000</v>
      </c>
      <c r="K249">
        <v>171001.17</v>
      </c>
      <c r="L249" t="s">
        <v>48</v>
      </c>
      <c r="M249" t="str">
        <f t="shared" si="3"/>
        <v>Aug</v>
      </c>
    </row>
    <row r="250" spans="1:13">
      <c r="A250" t="s">
        <v>611</v>
      </c>
      <c r="B250" t="s">
        <v>181</v>
      </c>
      <c r="C250" t="s">
        <v>100</v>
      </c>
      <c r="D250" t="s">
        <v>62</v>
      </c>
      <c r="E250" t="s">
        <v>47</v>
      </c>
      <c r="F250" t="s">
        <v>6</v>
      </c>
      <c r="G250">
        <v>5</v>
      </c>
      <c r="H250">
        <v>180000</v>
      </c>
      <c r="I250">
        <v>0.15</v>
      </c>
      <c r="J250">
        <v>765000</v>
      </c>
      <c r="K250">
        <v>222698.76</v>
      </c>
      <c r="L250" t="s">
        <v>48</v>
      </c>
      <c r="M250" t="str">
        <f t="shared" si="3"/>
        <v>Jan</v>
      </c>
    </row>
    <row r="251" spans="1:13">
      <c r="A251" t="s">
        <v>612</v>
      </c>
      <c r="B251" t="s">
        <v>613</v>
      </c>
      <c r="C251" t="s">
        <v>614</v>
      </c>
      <c r="D251" t="s">
        <v>62</v>
      </c>
      <c r="E251" t="s">
        <v>47</v>
      </c>
      <c r="F251" t="s">
        <v>2</v>
      </c>
      <c r="G251">
        <v>4</v>
      </c>
      <c r="H251">
        <v>180000</v>
      </c>
      <c r="I251">
        <v>0.15</v>
      </c>
      <c r="J251">
        <v>612000</v>
      </c>
      <c r="K251">
        <v>161622.29999999999</v>
      </c>
      <c r="L251" t="s">
        <v>48</v>
      </c>
      <c r="M251" t="str">
        <f t="shared" si="3"/>
        <v>Sep</v>
      </c>
    </row>
    <row r="252" spans="1:13">
      <c r="A252" t="s">
        <v>615</v>
      </c>
      <c r="B252" t="s">
        <v>108</v>
      </c>
      <c r="C252" t="s">
        <v>599</v>
      </c>
      <c r="D252" t="s">
        <v>62</v>
      </c>
      <c r="E252" t="s">
        <v>47</v>
      </c>
      <c r="F252" t="s">
        <v>2</v>
      </c>
      <c r="G252">
        <v>3</v>
      </c>
      <c r="H252">
        <v>180000</v>
      </c>
      <c r="I252">
        <v>0.15</v>
      </c>
      <c r="J252">
        <v>459000</v>
      </c>
      <c r="K252">
        <v>25101.3</v>
      </c>
      <c r="L252" t="s">
        <v>71</v>
      </c>
      <c r="M252" t="str">
        <f t="shared" si="3"/>
        <v>Jul</v>
      </c>
    </row>
    <row r="253" spans="1:13">
      <c r="A253" t="s">
        <v>616</v>
      </c>
      <c r="B253" t="s">
        <v>617</v>
      </c>
      <c r="C253" t="s">
        <v>196</v>
      </c>
      <c r="D253" t="s">
        <v>56</v>
      </c>
      <c r="E253" t="s">
        <v>57</v>
      </c>
      <c r="F253" t="s">
        <v>4</v>
      </c>
      <c r="G253">
        <v>1</v>
      </c>
      <c r="H253">
        <v>210000</v>
      </c>
      <c r="I253">
        <v>0</v>
      </c>
      <c r="J253">
        <v>210000</v>
      </c>
      <c r="K253">
        <v>86730.04</v>
      </c>
      <c r="L253" t="s">
        <v>71</v>
      </c>
      <c r="M253" t="str">
        <f t="shared" si="3"/>
        <v>Jan</v>
      </c>
    </row>
    <row r="254" spans="1:13">
      <c r="A254" t="s">
        <v>618</v>
      </c>
      <c r="B254" t="s">
        <v>619</v>
      </c>
      <c r="C254" t="s">
        <v>620</v>
      </c>
      <c r="D254" t="s">
        <v>110</v>
      </c>
      <c r="E254" t="s">
        <v>47</v>
      </c>
      <c r="F254" t="s">
        <v>2</v>
      </c>
      <c r="G254">
        <v>5</v>
      </c>
      <c r="H254">
        <v>85000</v>
      </c>
      <c r="I254">
        <v>0</v>
      </c>
      <c r="J254">
        <v>425000</v>
      </c>
      <c r="K254">
        <v>153615.92000000001</v>
      </c>
      <c r="L254" t="s">
        <v>71</v>
      </c>
      <c r="M254" t="str">
        <f t="shared" si="3"/>
        <v>Nov</v>
      </c>
    </row>
    <row r="255" spans="1:13">
      <c r="A255" t="s">
        <v>621</v>
      </c>
      <c r="B255" t="s">
        <v>175</v>
      </c>
      <c r="C255" t="s">
        <v>365</v>
      </c>
      <c r="D255" t="s">
        <v>52</v>
      </c>
      <c r="E255" t="s">
        <v>47</v>
      </c>
      <c r="F255" t="s">
        <v>3</v>
      </c>
      <c r="G255">
        <v>5</v>
      </c>
      <c r="H255">
        <v>55000</v>
      </c>
      <c r="I255">
        <v>0.05</v>
      </c>
      <c r="J255">
        <v>261250</v>
      </c>
      <c r="K255">
        <v>72331.86</v>
      </c>
      <c r="L255" t="s">
        <v>71</v>
      </c>
      <c r="M255" t="str">
        <f t="shared" si="3"/>
        <v>Jun</v>
      </c>
    </row>
    <row r="256" spans="1:13">
      <c r="A256" t="s">
        <v>622</v>
      </c>
      <c r="B256" t="s">
        <v>175</v>
      </c>
      <c r="C256" t="s">
        <v>623</v>
      </c>
      <c r="D256" t="s">
        <v>52</v>
      </c>
      <c r="E256" t="s">
        <v>47</v>
      </c>
      <c r="F256" t="s">
        <v>4</v>
      </c>
      <c r="G256">
        <v>4</v>
      </c>
      <c r="H256">
        <v>55000</v>
      </c>
      <c r="I256">
        <v>0</v>
      </c>
      <c r="J256">
        <v>220000</v>
      </c>
      <c r="K256">
        <v>77119.55</v>
      </c>
      <c r="L256" t="s">
        <v>91</v>
      </c>
      <c r="M256" t="str">
        <f t="shared" si="3"/>
        <v>Jun</v>
      </c>
    </row>
    <row r="257" spans="1:13">
      <c r="A257" t="s">
        <v>624</v>
      </c>
      <c r="B257" t="s">
        <v>324</v>
      </c>
      <c r="C257" t="s">
        <v>625</v>
      </c>
      <c r="D257" t="s">
        <v>129</v>
      </c>
      <c r="E257" t="s">
        <v>47</v>
      </c>
      <c r="F257" t="s">
        <v>3</v>
      </c>
      <c r="G257">
        <v>4</v>
      </c>
      <c r="H257">
        <v>650000</v>
      </c>
      <c r="I257">
        <v>0.05</v>
      </c>
      <c r="J257">
        <v>2470000</v>
      </c>
      <c r="K257">
        <v>361116.37</v>
      </c>
      <c r="L257" t="s">
        <v>58</v>
      </c>
      <c r="M257" t="str">
        <f t="shared" si="3"/>
        <v>Nov</v>
      </c>
    </row>
    <row r="258" spans="1:13">
      <c r="A258" t="s">
        <v>626</v>
      </c>
      <c r="B258" t="s">
        <v>627</v>
      </c>
      <c r="C258" t="s">
        <v>266</v>
      </c>
      <c r="D258" t="s">
        <v>129</v>
      </c>
      <c r="E258" t="s">
        <v>47</v>
      </c>
      <c r="F258" t="s">
        <v>2</v>
      </c>
      <c r="G258">
        <v>4</v>
      </c>
      <c r="H258">
        <v>650000</v>
      </c>
      <c r="I258">
        <v>0</v>
      </c>
      <c r="J258">
        <v>2600000</v>
      </c>
      <c r="K258">
        <v>801988.9</v>
      </c>
      <c r="L258" t="s">
        <v>58</v>
      </c>
      <c r="M258" t="str">
        <f t="shared" si="3"/>
        <v>Oct</v>
      </c>
    </row>
    <row r="259" spans="1:13">
      <c r="A259" t="s">
        <v>628</v>
      </c>
      <c r="B259" t="s">
        <v>316</v>
      </c>
      <c r="C259" t="s">
        <v>216</v>
      </c>
      <c r="D259" t="s">
        <v>129</v>
      </c>
      <c r="E259" t="s">
        <v>47</v>
      </c>
      <c r="F259" t="s">
        <v>4</v>
      </c>
      <c r="G259">
        <v>1</v>
      </c>
      <c r="H259">
        <v>650000</v>
      </c>
      <c r="I259">
        <v>0</v>
      </c>
      <c r="J259">
        <v>650000</v>
      </c>
      <c r="K259">
        <v>289176.49</v>
      </c>
      <c r="L259" t="s">
        <v>58</v>
      </c>
      <c r="M259" t="str">
        <f t="shared" ref="M259:M322" si="4">TEXT(B259,"mmm")</f>
        <v>Oct</v>
      </c>
    </row>
    <row r="260" spans="1:13">
      <c r="A260" t="s">
        <v>629</v>
      </c>
      <c r="B260" t="s">
        <v>309</v>
      </c>
      <c r="C260" t="s">
        <v>199</v>
      </c>
      <c r="D260" t="s">
        <v>62</v>
      </c>
      <c r="E260" t="s">
        <v>47</v>
      </c>
      <c r="F260" t="s">
        <v>5</v>
      </c>
      <c r="G260">
        <v>2</v>
      </c>
      <c r="H260">
        <v>180000</v>
      </c>
      <c r="I260">
        <v>0.1</v>
      </c>
      <c r="J260">
        <v>324000</v>
      </c>
      <c r="K260">
        <v>77223.14</v>
      </c>
      <c r="L260" t="s">
        <v>58</v>
      </c>
      <c r="M260" t="str">
        <f t="shared" si="4"/>
        <v>Dec</v>
      </c>
    </row>
    <row r="261" spans="1:13">
      <c r="A261" t="s">
        <v>630</v>
      </c>
      <c r="B261" t="s">
        <v>631</v>
      </c>
      <c r="C261" t="s">
        <v>580</v>
      </c>
      <c r="D261" t="s">
        <v>56</v>
      </c>
      <c r="E261" t="s">
        <v>57</v>
      </c>
      <c r="F261" t="s">
        <v>3</v>
      </c>
      <c r="G261">
        <v>5</v>
      </c>
      <c r="H261">
        <v>210000</v>
      </c>
      <c r="I261">
        <v>0.05</v>
      </c>
      <c r="J261">
        <v>997500</v>
      </c>
      <c r="K261">
        <v>137032.17000000001</v>
      </c>
      <c r="L261" t="s">
        <v>71</v>
      </c>
      <c r="M261" t="str">
        <f t="shared" si="4"/>
        <v>Apr</v>
      </c>
    </row>
    <row r="262" spans="1:13">
      <c r="A262" t="s">
        <v>632</v>
      </c>
      <c r="B262" t="s">
        <v>633</v>
      </c>
      <c r="C262" t="s">
        <v>558</v>
      </c>
      <c r="D262" t="s">
        <v>85</v>
      </c>
      <c r="E262" t="s">
        <v>86</v>
      </c>
      <c r="F262" t="s">
        <v>6</v>
      </c>
      <c r="G262">
        <v>4</v>
      </c>
      <c r="H262">
        <v>12000</v>
      </c>
      <c r="I262">
        <v>0.15</v>
      </c>
      <c r="J262">
        <v>40800</v>
      </c>
      <c r="K262">
        <v>9963.44</v>
      </c>
      <c r="L262" t="s">
        <v>71</v>
      </c>
      <c r="M262" t="str">
        <f t="shared" si="4"/>
        <v>Mar</v>
      </c>
    </row>
    <row r="263" spans="1:13">
      <c r="A263" t="s">
        <v>634</v>
      </c>
      <c r="B263" t="s">
        <v>125</v>
      </c>
      <c r="C263" t="s">
        <v>106</v>
      </c>
      <c r="D263" t="s">
        <v>118</v>
      </c>
      <c r="E263" t="s">
        <v>57</v>
      </c>
      <c r="F263" t="s">
        <v>6</v>
      </c>
      <c r="G263">
        <v>3</v>
      </c>
      <c r="H263">
        <v>120000</v>
      </c>
      <c r="I263">
        <v>0.15</v>
      </c>
      <c r="J263">
        <v>306000</v>
      </c>
      <c r="K263">
        <v>78985.88</v>
      </c>
      <c r="L263" t="s">
        <v>58</v>
      </c>
      <c r="M263" t="str">
        <f t="shared" si="4"/>
        <v>May</v>
      </c>
    </row>
    <row r="264" spans="1:13">
      <c r="A264" t="s">
        <v>635</v>
      </c>
      <c r="B264" t="s">
        <v>636</v>
      </c>
      <c r="C264" t="s">
        <v>182</v>
      </c>
      <c r="D264" t="s">
        <v>90</v>
      </c>
      <c r="E264" t="s">
        <v>86</v>
      </c>
      <c r="F264" t="s">
        <v>6</v>
      </c>
      <c r="G264">
        <v>4</v>
      </c>
      <c r="H264">
        <v>45000</v>
      </c>
      <c r="I264">
        <v>0.05</v>
      </c>
      <c r="J264">
        <v>171000</v>
      </c>
      <c r="K264">
        <v>44760.3</v>
      </c>
      <c r="L264" t="s">
        <v>48</v>
      </c>
      <c r="M264" t="str">
        <f t="shared" si="4"/>
        <v>Jun</v>
      </c>
    </row>
    <row r="265" spans="1:13">
      <c r="A265" t="s">
        <v>637</v>
      </c>
      <c r="B265" t="s">
        <v>638</v>
      </c>
      <c r="C265" t="s">
        <v>639</v>
      </c>
      <c r="D265" t="s">
        <v>52</v>
      </c>
      <c r="E265" t="s">
        <v>47</v>
      </c>
      <c r="F265" t="s">
        <v>6</v>
      </c>
      <c r="G265">
        <v>5</v>
      </c>
      <c r="H265">
        <v>55000</v>
      </c>
      <c r="I265">
        <v>0.1</v>
      </c>
      <c r="J265">
        <v>247500</v>
      </c>
      <c r="K265">
        <v>29739.79</v>
      </c>
      <c r="L265" t="s">
        <v>58</v>
      </c>
      <c r="M265" t="str">
        <f t="shared" si="4"/>
        <v>Dec</v>
      </c>
    </row>
    <row r="266" spans="1:13">
      <c r="A266" t="s">
        <v>640</v>
      </c>
      <c r="B266" t="s">
        <v>283</v>
      </c>
      <c r="C266" t="s">
        <v>344</v>
      </c>
      <c r="D266" t="s">
        <v>75</v>
      </c>
      <c r="E266" t="s">
        <v>57</v>
      </c>
      <c r="F266" t="s">
        <v>6</v>
      </c>
      <c r="G266">
        <v>3</v>
      </c>
      <c r="H266">
        <v>35000</v>
      </c>
      <c r="I266">
        <v>0.2</v>
      </c>
      <c r="J266">
        <v>84000</v>
      </c>
      <c r="K266">
        <v>24009.52</v>
      </c>
      <c r="L266" t="s">
        <v>71</v>
      </c>
      <c r="M266" t="str">
        <f t="shared" si="4"/>
        <v>Jan</v>
      </c>
    </row>
    <row r="267" spans="1:13">
      <c r="A267" t="s">
        <v>641</v>
      </c>
      <c r="B267" t="s">
        <v>642</v>
      </c>
      <c r="C267" t="s">
        <v>338</v>
      </c>
      <c r="D267" t="s">
        <v>118</v>
      </c>
      <c r="E267" t="s">
        <v>57</v>
      </c>
      <c r="F267" t="s">
        <v>2</v>
      </c>
      <c r="G267">
        <v>5</v>
      </c>
      <c r="H267">
        <v>120000</v>
      </c>
      <c r="I267">
        <v>0.05</v>
      </c>
      <c r="J267">
        <v>570000</v>
      </c>
      <c r="K267">
        <v>88850.12</v>
      </c>
      <c r="L267" t="s">
        <v>48</v>
      </c>
      <c r="M267" t="str">
        <f t="shared" si="4"/>
        <v>Apr</v>
      </c>
    </row>
    <row r="268" spans="1:13">
      <c r="A268" t="s">
        <v>643</v>
      </c>
      <c r="B268" t="s">
        <v>644</v>
      </c>
      <c r="C268" t="s">
        <v>109</v>
      </c>
      <c r="D268" t="s">
        <v>52</v>
      </c>
      <c r="E268" t="s">
        <v>47</v>
      </c>
      <c r="F268" t="s">
        <v>2</v>
      </c>
      <c r="G268">
        <v>2</v>
      </c>
      <c r="H268">
        <v>55000</v>
      </c>
      <c r="I268">
        <v>0</v>
      </c>
      <c r="J268">
        <v>110000</v>
      </c>
      <c r="K268">
        <v>47992.27</v>
      </c>
      <c r="L268" t="s">
        <v>58</v>
      </c>
      <c r="M268" t="str">
        <f t="shared" si="4"/>
        <v>Oct</v>
      </c>
    </row>
    <row r="269" spans="1:13">
      <c r="A269" t="s">
        <v>645</v>
      </c>
      <c r="B269" t="s">
        <v>646</v>
      </c>
      <c r="C269" t="s">
        <v>138</v>
      </c>
      <c r="D269" t="s">
        <v>129</v>
      </c>
      <c r="E269" t="s">
        <v>47</v>
      </c>
      <c r="F269" t="s">
        <v>2</v>
      </c>
      <c r="G269">
        <v>4</v>
      </c>
      <c r="H269">
        <v>650000</v>
      </c>
      <c r="I269">
        <v>0.05</v>
      </c>
      <c r="J269">
        <v>2470000</v>
      </c>
      <c r="K269">
        <v>536414.64</v>
      </c>
      <c r="L269" t="s">
        <v>48</v>
      </c>
      <c r="M269" t="str">
        <f t="shared" si="4"/>
        <v>Feb</v>
      </c>
    </row>
    <row r="270" spans="1:13">
      <c r="A270" t="s">
        <v>647</v>
      </c>
      <c r="B270" t="s">
        <v>390</v>
      </c>
      <c r="C270" t="s">
        <v>227</v>
      </c>
      <c r="D270" t="s">
        <v>56</v>
      </c>
      <c r="E270" t="s">
        <v>57</v>
      </c>
      <c r="F270" t="s">
        <v>4</v>
      </c>
      <c r="G270">
        <v>4</v>
      </c>
      <c r="H270">
        <v>210000</v>
      </c>
      <c r="I270">
        <v>0.2</v>
      </c>
      <c r="J270">
        <v>672000</v>
      </c>
      <c r="K270">
        <v>-2065.2800000000002</v>
      </c>
      <c r="L270" t="s">
        <v>58</v>
      </c>
      <c r="M270" t="str">
        <f t="shared" si="4"/>
        <v>Mar</v>
      </c>
    </row>
    <row r="271" spans="1:13">
      <c r="A271" t="s">
        <v>648</v>
      </c>
      <c r="B271" t="s">
        <v>649</v>
      </c>
      <c r="C271" t="s">
        <v>289</v>
      </c>
      <c r="D271" t="s">
        <v>75</v>
      </c>
      <c r="E271" t="s">
        <v>57</v>
      </c>
      <c r="F271" t="s">
        <v>3</v>
      </c>
      <c r="G271">
        <v>3</v>
      </c>
      <c r="H271">
        <v>35000</v>
      </c>
      <c r="I271">
        <v>0.2</v>
      </c>
      <c r="J271">
        <v>84000</v>
      </c>
      <c r="K271">
        <v>24572.74</v>
      </c>
      <c r="L271" t="s">
        <v>58</v>
      </c>
      <c r="M271" t="str">
        <f t="shared" si="4"/>
        <v>Jun</v>
      </c>
    </row>
    <row r="272" spans="1:13">
      <c r="A272" t="s">
        <v>650</v>
      </c>
      <c r="B272" t="s">
        <v>651</v>
      </c>
      <c r="C272" t="s">
        <v>652</v>
      </c>
      <c r="D272" t="s">
        <v>56</v>
      </c>
      <c r="E272" t="s">
        <v>57</v>
      </c>
      <c r="F272" t="s">
        <v>5</v>
      </c>
      <c r="G272">
        <v>2</v>
      </c>
      <c r="H272">
        <v>210000</v>
      </c>
      <c r="I272">
        <v>0.1</v>
      </c>
      <c r="J272">
        <v>378000</v>
      </c>
      <c r="K272">
        <v>46953.42</v>
      </c>
      <c r="L272" t="s">
        <v>71</v>
      </c>
      <c r="M272" t="str">
        <f t="shared" si="4"/>
        <v>Jan</v>
      </c>
    </row>
    <row r="273" spans="1:13">
      <c r="A273" t="s">
        <v>653</v>
      </c>
      <c r="B273" t="s">
        <v>654</v>
      </c>
      <c r="C273" t="s">
        <v>84</v>
      </c>
      <c r="D273" t="s">
        <v>90</v>
      </c>
      <c r="E273" t="s">
        <v>86</v>
      </c>
      <c r="F273" t="s">
        <v>3</v>
      </c>
      <c r="G273">
        <v>3</v>
      </c>
      <c r="H273">
        <v>45000</v>
      </c>
      <c r="I273">
        <v>0</v>
      </c>
      <c r="J273">
        <v>135000</v>
      </c>
      <c r="K273">
        <v>60412.21</v>
      </c>
      <c r="L273" t="s">
        <v>48</v>
      </c>
      <c r="M273" t="str">
        <f t="shared" si="4"/>
        <v>Apr</v>
      </c>
    </row>
    <row r="274" spans="1:13">
      <c r="A274" t="s">
        <v>655</v>
      </c>
      <c r="B274" t="s">
        <v>172</v>
      </c>
      <c r="C274" t="s">
        <v>656</v>
      </c>
      <c r="D274" t="s">
        <v>85</v>
      </c>
      <c r="E274" t="s">
        <v>86</v>
      </c>
      <c r="F274" t="s">
        <v>2</v>
      </c>
      <c r="G274">
        <v>4</v>
      </c>
      <c r="H274">
        <v>12000</v>
      </c>
      <c r="I274">
        <v>0.2</v>
      </c>
      <c r="J274">
        <v>38400</v>
      </c>
      <c r="K274">
        <v>4958.83</v>
      </c>
      <c r="L274" t="s">
        <v>71</v>
      </c>
      <c r="M274" t="str">
        <f t="shared" si="4"/>
        <v>May</v>
      </c>
    </row>
    <row r="275" spans="1:13">
      <c r="A275" t="s">
        <v>657</v>
      </c>
      <c r="B275" t="s">
        <v>516</v>
      </c>
      <c r="C275" t="s">
        <v>482</v>
      </c>
      <c r="D275" t="s">
        <v>75</v>
      </c>
      <c r="E275" t="s">
        <v>57</v>
      </c>
      <c r="F275" t="s">
        <v>6</v>
      </c>
      <c r="G275">
        <v>1</v>
      </c>
      <c r="H275">
        <v>35000</v>
      </c>
      <c r="I275">
        <v>0.05</v>
      </c>
      <c r="J275">
        <v>33250</v>
      </c>
      <c r="K275">
        <v>12464.43</v>
      </c>
      <c r="L275" t="s">
        <v>58</v>
      </c>
      <c r="M275" t="str">
        <f t="shared" si="4"/>
        <v>Apr</v>
      </c>
    </row>
    <row r="276" spans="1:13">
      <c r="A276" t="s">
        <v>658</v>
      </c>
      <c r="B276" t="s">
        <v>659</v>
      </c>
      <c r="C276" t="s">
        <v>202</v>
      </c>
      <c r="D276" t="s">
        <v>129</v>
      </c>
      <c r="E276" t="s">
        <v>47</v>
      </c>
      <c r="F276" t="s">
        <v>2</v>
      </c>
      <c r="G276">
        <v>3</v>
      </c>
      <c r="H276">
        <v>650000</v>
      </c>
      <c r="I276">
        <v>0.15</v>
      </c>
      <c r="J276">
        <v>1657500</v>
      </c>
      <c r="K276">
        <v>229927.8</v>
      </c>
      <c r="L276" t="s">
        <v>71</v>
      </c>
      <c r="M276" t="str">
        <f t="shared" si="4"/>
        <v>Jun</v>
      </c>
    </row>
    <row r="277" spans="1:13">
      <c r="A277" t="s">
        <v>660</v>
      </c>
      <c r="B277" t="s">
        <v>229</v>
      </c>
      <c r="C277" t="s">
        <v>452</v>
      </c>
      <c r="D277" t="s">
        <v>62</v>
      </c>
      <c r="E277" t="s">
        <v>47</v>
      </c>
      <c r="F277" t="s">
        <v>2</v>
      </c>
      <c r="G277">
        <v>3</v>
      </c>
      <c r="H277">
        <v>180000</v>
      </c>
      <c r="I277">
        <v>0</v>
      </c>
      <c r="J277">
        <v>540000</v>
      </c>
      <c r="K277">
        <v>184558.51</v>
      </c>
      <c r="L277" t="s">
        <v>58</v>
      </c>
      <c r="M277" t="str">
        <f t="shared" si="4"/>
        <v>Sep</v>
      </c>
    </row>
    <row r="278" spans="1:13">
      <c r="A278" t="s">
        <v>661</v>
      </c>
      <c r="B278" t="s">
        <v>662</v>
      </c>
      <c r="C278" t="s">
        <v>147</v>
      </c>
      <c r="D278" t="s">
        <v>90</v>
      </c>
      <c r="E278" t="s">
        <v>86</v>
      </c>
      <c r="F278" t="s">
        <v>4</v>
      </c>
      <c r="G278">
        <v>2</v>
      </c>
      <c r="H278">
        <v>45000</v>
      </c>
      <c r="I278">
        <v>0</v>
      </c>
      <c r="J278">
        <v>90000</v>
      </c>
      <c r="K278">
        <v>34162.92</v>
      </c>
      <c r="L278" t="s">
        <v>91</v>
      </c>
      <c r="M278" t="str">
        <f t="shared" si="4"/>
        <v>Jun</v>
      </c>
    </row>
    <row r="279" spans="1:13">
      <c r="A279" t="s">
        <v>663</v>
      </c>
      <c r="B279" t="s">
        <v>392</v>
      </c>
      <c r="C279" t="s">
        <v>295</v>
      </c>
      <c r="D279" t="s">
        <v>85</v>
      </c>
      <c r="E279" t="s">
        <v>86</v>
      </c>
      <c r="F279" t="s">
        <v>6</v>
      </c>
      <c r="G279">
        <v>5</v>
      </c>
      <c r="H279">
        <v>12000</v>
      </c>
      <c r="I279">
        <v>0.2</v>
      </c>
      <c r="J279">
        <v>48000</v>
      </c>
      <c r="K279">
        <v>5719.39</v>
      </c>
      <c r="L279" t="s">
        <v>58</v>
      </c>
      <c r="M279" t="str">
        <f t="shared" si="4"/>
        <v>Jun</v>
      </c>
    </row>
    <row r="280" spans="1:13">
      <c r="A280" t="s">
        <v>664</v>
      </c>
      <c r="B280" t="s">
        <v>192</v>
      </c>
      <c r="C280" t="s">
        <v>352</v>
      </c>
      <c r="D280" t="s">
        <v>129</v>
      </c>
      <c r="E280" t="s">
        <v>47</v>
      </c>
      <c r="F280" t="s">
        <v>3</v>
      </c>
      <c r="G280">
        <v>1</v>
      </c>
      <c r="H280">
        <v>650000</v>
      </c>
      <c r="I280">
        <v>0.1</v>
      </c>
      <c r="J280">
        <v>585000</v>
      </c>
      <c r="K280">
        <v>173655.49</v>
      </c>
      <c r="L280" t="s">
        <v>91</v>
      </c>
      <c r="M280" t="str">
        <f t="shared" si="4"/>
        <v>Dec</v>
      </c>
    </row>
    <row r="281" spans="1:13">
      <c r="A281" t="s">
        <v>665</v>
      </c>
      <c r="B281" t="s">
        <v>80</v>
      </c>
      <c r="C281" t="s">
        <v>236</v>
      </c>
      <c r="D281" t="s">
        <v>46</v>
      </c>
      <c r="E281" t="s">
        <v>47</v>
      </c>
      <c r="F281" t="s">
        <v>2</v>
      </c>
      <c r="G281">
        <v>3</v>
      </c>
      <c r="H281">
        <v>420000</v>
      </c>
      <c r="I281">
        <v>0.05</v>
      </c>
      <c r="J281">
        <v>1197000</v>
      </c>
      <c r="K281">
        <v>294904.42</v>
      </c>
      <c r="L281" t="s">
        <v>71</v>
      </c>
      <c r="M281" t="str">
        <f t="shared" si="4"/>
        <v>Nov</v>
      </c>
    </row>
    <row r="282" spans="1:13">
      <c r="A282" t="s">
        <v>666</v>
      </c>
      <c r="B282" t="s">
        <v>73</v>
      </c>
      <c r="C282" t="s">
        <v>242</v>
      </c>
      <c r="D282" t="s">
        <v>110</v>
      </c>
      <c r="E282" t="s">
        <v>47</v>
      </c>
      <c r="F282" t="s">
        <v>4</v>
      </c>
      <c r="G282">
        <v>5</v>
      </c>
      <c r="H282">
        <v>85000</v>
      </c>
      <c r="I282">
        <v>0.05</v>
      </c>
      <c r="J282">
        <v>403750</v>
      </c>
      <c r="K282">
        <v>122281.72</v>
      </c>
      <c r="L282" t="s">
        <v>58</v>
      </c>
      <c r="M282" t="str">
        <f t="shared" si="4"/>
        <v>Aug</v>
      </c>
    </row>
    <row r="283" spans="1:13">
      <c r="A283" t="s">
        <v>667</v>
      </c>
      <c r="B283" t="s">
        <v>668</v>
      </c>
      <c r="C283" t="s">
        <v>109</v>
      </c>
      <c r="D283" t="s">
        <v>118</v>
      </c>
      <c r="E283" t="s">
        <v>57</v>
      </c>
      <c r="F283" t="s">
        <v>6</v>
      </c>
      <c r="G283">
        <v>5</v>
      </c>
      <c r="H283">
        <v>120000</v>
      </c>
      <c r="I283">
        <v>0</v>
      </c>
      <c r="J283">
        <v>600000</v>
      </c>
      <c r="K283">
        <v>184867.92</v>
      </c>
      <c r="L283" t="s">
        <v>48</v>
      </c>
      <c r="M283" t="str">
        <f t="shared" si="4"/>
        <v>Dec</v>
      </c>
    </row>
    <row r="284" spans="1:13">
      <c r="A284" t="s">
        <v>669</v>
      </c>
      <c r="B284" t="s">
        <v>670</v>
      </c>
      <c r="C284" t="s">
        <v>270</v>
      </c>
      <c r="D284" t="s">
        <v>52</v>
      </c>
      <c r="E284" t="s">
        <v>47</v>
      </c>
      <c r="F284" t="s">
        <v>3</v>
      </c>
      <c r="G284">
        <v>1</v>
      </c>
      <c r="H284">
        <v>55000</v>
      </c>
      <c r="I284">
        <v>0.15</v>
      </c>
      <c r="J284">
        <v>46750</v>
      </c>
      <c r="K284">
        <v>3092.11</v>
      </c>
      <c r="L284" t="s">
        <v>58</v>
      </c>
      <c r="M284" t="str">
        <f t="shared" si="4"/>
        <v>Feb</v>
      </c>
    </row>
    <row r="285" spans="1:13">
      <c r="A285" t="s">
        <v>671</v>
      </c>
      <c r="B285" t="s">
        <v>265</v>
      </c>
      <c r="C285" t="s">
        <v>179</v>
      </c>
      <c r="D285" t="s">
        <v>110</v>
      </c>
      <c r="E285" t="s">
        <v>47</v>
      </c>
      <c r="F285" t="s">
        <v>3</v>
      </c>
      <c r="G285">
        <v>5</v>
      </c>
      <c r="H285">
        <v>85000</v>
      </c>
      <c r="I285">
        <v>0.1</v>
      </c>
      <c r="J285">
        <v>382500</v>
      </c>
      <c r="K285">
        <v>135411.46</v>
      </c>
      <c r="L285" t="s">
        <v>71</v>
      </c>
      <c r="M285" t="str">
        <f t="shared" si="4"/>
        <v>Jun</v>
      </c>
    </row>
    <row r="286" spans="1:13">
      <c r="A286" t="s">
        <v>672</v>
      </c>
      <c r="B286" t="s">
        <v>489</v>
      </c>
      <c r="C286" t="s">
        <v>537</v>
      </c>
      <c r="D286" t="s">
        <v>46</v>
      </c>
      <c r="E286" t="s">
        <v>47</v>
      </c>
      <c r="F286" t="s">
        <v>4</v>
      </c>
      <c r="G286">
        <v>4</v>
      </c>
      <c r="H286">
        <v>420000</v>
      </c>
      <c r="I286">
        <v>0</v>
      </c>
      <c r="J286">
        <v>1680000</v>
      </c>
      <c r="K286">
        <v>550323.11</v>
      </c>
      <c r="L286" t="s">
        <v>71</v>
      </c>
      <c r="M286" t="str">
        <f t="shared" si="4"/>
        <v>Sep</v>
      </c>
    </row>
    <row r="287" spans="1:13">
      <c r="A287" t="s">
        <v>673</v>
      </c>
      <c r="B287" t="s">
        <v>674</v>
      </c>
      <c r="C287" t="s">
        <v>114</v>
      </c>
      <c r="D287" t="s">
        <v>52</v>
      </c>
      <c r="E287" t="s">
        <v>47</v>
      </c>
      <c r="F287" t="s">
        <v>5</v>
      </c>
      <c r="G287">
        <v>5</v>
      </c>
      <c r="H287">
        <v>55000</v>
      </c>
      <c r="I287">
        <v>0.1</v>
      </c>
      <c r="J287">
        <v>247500</v>
      </c>
      <c r="K287">
        <v>46297</v>
      </c>
      <c r="L287" t="s">
        <v>71</v>
      </c>
      <c r="M287" t="str">
        <f t="shared" si="4"/>
        <v>Jan</v>
      </c>
    </row>
    <row r="288" spans="1:13">
      <c r="A288" t="s">
        <v>675</v>
      </c>
      <c r="B288" t="s">
        <v>676</v>
      </c>
      <c r="C288" t="s">
        <v>97</v>
      </c>
      <c r="D288" t="s">
        <v>75</v>
      </c>
      <c r="E288" t="s">
        <v>57</v>
      </c>
      <c r="F288" t="s">
        <v>6</v>
      </c>
      <c r="G288">
        <v>2</v>
      </c>
      <c r="H288">
        <v>35000</v>
      </c>
      <c r="I288">
        <v>0.15</v>
      </c>
      <c r="J288">
        <v>59500</v>
      </c>
      <c r="K288">
        <v>19619.740000000002</v>
      </c>
      <c r="L288" t="s">
        <v>48</v>
      </c>
      <c r="M288" t="str">
        <f t="shared" si="4"/>
        <v>Jan</v>
      </c>
    </row>
    <row r="289" spans="1:13">
      <c r="A289" t="s">
        <v>677</v>
      </c>
      <c r="B289" t="s">
        <v>454</v>
      </c>
      <c r="C289" t="s">
        <v>193</v>
      </c>
      <c r="D289" t="s">
        <v>56</v>
      </c>
      <c r="E289" t="s">
        <v>57</v>
      </c>
      <c r="F289" t="s">
        <v>2</v>
      </c>
      <c r="G289">
        <v>1</v>
      </c>
      <c r="H289">
        <v>210000</v>
      </c>
      <c r="I289">
        <v>0.1</v>
      </c>
      <c r="J289">
        <v>189000</v>
      </c>
      <c r="K289">
        <v>71700.63</v>
      </c>
      <c r="L289" t="s">
        <v>58</v>
      </c>
      <c r="M289" t="str">
        <f t="shared" si="4"/>
        <v>Jan</v>
      </c>
    </row>
    <row r="290" spans="1:13">
      <c r="A290" t="s">
        <v>678</v>
      </c>
      <c r="B290" t="s">
        <v>108</v>
      </c>
      <c r="C290" t="s">
        <v>279</v>
      </c>
      <c r="D290" t="s">
        <v>62</v>
      </c>
      <c r="E290" t="s">
        <v>47</v>
      </c>
      <c r="F290" t="s">
        <v>4</v>
      </c>
      <c r="G290">
        <v>4</v>
      </c>
      <c r="H290">
        <v>180000</v>
      </c>
      <c r="I290">
        <v>0.1</v>
      </c>
      <c r="J290">
        <v>648000</v>
      </c>
      <c r="K290">
        <v>82945.820000000007</v>
      </c>
      <c r="L290" t="s">
        <v>48</v>
      </c>
      <c r="M290" t="str">
        <f t="shared" si="4"/>
        <v>Jul</v>
      </c>
    </row>
    <row r="291" spans="1:13">
      <c r="A291" t="s">
        <v>679</v>
      </c>
      <c r="B291" t="s">
        <v>680</v>
      </c>
      <c r="C291" t="s">
        <v>287</v>
      </c>
      <c r="D291" t="s">
        <v>56</v>
      </c>
      <c r="E291" t="s">
        <v>57</v>
      </c>
      <c r="F291" t="s">
        <v>4</v>
      </c>
      <c r="G291">
        <v>3</v>
      </c>
      <c r="H291">
        <v>210000</v>
      </c>
      <c r="I291">
        <v>0</v>
      </c>
      <c r="J291">
        <v>630000</v>
      </c>
      <c r="K291">
        <v>253141.64</v>
      </c>
      <c r="L291" t="s">
        <v>58</v>
      </c>
      <c r="M291" t="str">
        <f t="shared" si="4"/>
        <v>Mar</v>
      </c>
    </row>
    <row r="292" spans="1:13">
      <c r="A292" t="s">
        <v>681</v>
      </c>
      <c r="B292" t="s">
        <v>676</v>
      </c>
      <c r="C292" t="s">
        <v>594</v>
      </c>
      <c r="D292" t="s">
        <v>118</v>
      </c>
      <c r="E292" t="s">
        <v>57</v>
      </c>
      <c r="F292" t="s">
        <v>4</v>
      </c>
      <c r="G292">
        <v>1</v>
      </c>
      <c r="H292">
        <v>120000</v>
      </c>
      <c r="I292">
        <v>0.05</v>
      </c>
      <c r="J292">
        <v>114000</v>
      </c>
      <c r="K292">
        <v>32998.67</v>
      </c>
      <c r="L292" t="s">
        <v>71</v>
      </c>
      <c r="M292" t="str">
        <f t="shared" si="4"/>
        <v>Jan</v>
      </c>
    </row>
    <row r="293" spans="1:13">
      <c r="A293" t="s">
        <v>682</v>
      </c>
      <c r="B293" t="s">
        <v>125</v>
      </c>
      <c r="C293" t="s">
        <v>298</v>
      </c>
      <c r="D293" t="s">
        <v>118</v>
      </c>
      <c r="E293" t="s">
        <v>57</v>
      </c>
      <c r="F293" t="s">
        <v>5</v>
      </c>
      <c r="G293">
        <v>4</v>
      </c>
      <c r="H293">
        <v>120000</v>
      </c>
      <c r="I293">
        <v>0.05</v>
      </c>
      <c r="J293">
        <v>456000</v>
      </c>
      <c r="K293">
        <v>171896.27</v>
      </c>
      <c r="L293" t="s">
        <v>48</v>
      </c>
      <c r="M293" t="str">
        <f t="shared" si="4"/>
        <v>May</v>
      </c>
    </row>
    <row r="294" spans="1:13">
      <c r="A294" t="s">
        <v>683</v>
      </c>
      <c r="B294" t="s">
        <v>684</v>
      </c>
      <c r="C294" t="s">
        <v>138</v>
      </c>
      <c r="D294" t="s">
        <v>62</v>
      </c>
      <c r="E294" t="s">
        <v>47</v>
      </c>
      <c r="F294" t="s">
        <v>3</v>
      </c>
      <c r="G294">
        <v>1</v>
      </c>
      <c r="H294">
        <v>180000</v>
      </c>
      <c r="I294">
        <v>0</v>
      </c>
      <c r="J294">
        <v>180000</v>
      </c>
      <c r="K294">
        <v>70984.429999999993</v>
      </c>
      <c r="L294" t="s">
        <v>48</v>
      </c>
      <c r="M294" t="str">
        <f t="shared" si="4"/>
        <v>Nov</v>
      </c>
    </row>
    <row r="295" spans="1:13">
      <c r="A295" t="s">
        <v>685</v>
      </c>
      <c r="B295" t="s">
        <v>686</v>
      </c>
      <c r="C295" t="s">
        <v>205</v>
      </c>
      <c r="D295" t="s">
        <v>90</v>
      </c>
      <c r="E295" t="s">
        <v>86</v>
      </c>
      <c r="F295" t="s">
        <v>4</v>
      </c>
      <c r="G295">
        <v>1</v>
      </c>
      <c r="H295">
        <v>45000</v>
      </c>
      <c r="I295">
        <v>0</v>
      </c>
      <c r="J295">
        <v>45000</v>
      </c>
      <c r="K295">
        <v>11252.43</v>
      </c>
      <c r="L295" t="s">
        <v>58</v>
      </c>
      <c r="M295" t="str">
        <f t="shared" si="4"/>
        <v>Nov</v>
      </c>
    </row>
    <row r="296" spans="1:13">
      <c r="A296" t="s">
        <v>687</v>
      </c>
      <c r="B296" t="s">
        <v>688</v>
      </c>
      <c r="C296" t="s">
        <v>689</v>
      </c>
      <c r="D296" t="s">
        <v>56</v>
      </c>
      <c r="E296" t="s">
        <v>57</v>
      </c>
      <c r="F296" t="s">
        <v>2</v>
      </c>
      <c r="G296">
        <v>1</v>
      </c>
      <c r="H296">
        <v>210000</v>
      </c>
      <c r="I296">
        <v>0</v>
      </c>
      <c r="J296">
        <v>210000</v>
      </c>
      <c r="K296">
        <v>65929.11</v>
      </c>
      <c r="L296" t="s">
        <v>91</v>
      </c>
      <c r="M296" t="str">
        <f t="shared" si="4"/>
        <v>Apr</v>
      </c>
    </row>
    <row r="297" spans="1:13">
      <c r="A297" t="s">
        <v>690</v>
      </c>
      <c r="B297" t="s">
        <v>686</v>
      </c>
      <c r="C297" t="s">
        <v>599</v>
      </c>
      <c r="D297" t="s">
        <v>52</v>
      </c>
      <c r="E297" t="s">
        <v>47</v>
      </c>
      <c r="F297" t="s">
        <v>3</v>
      </c>
      <c r="G297">
        <v>3</v>
      </c>
      <c r="H297">
        <v>55000</v>
      </c>
      <c r="I297">
        <v>0</v>
      </c>
      <c r="J297">
        <v>165000</v>
      </c>
      <c r="K297">
        <v>60806.39</v>
      </c>
      <c r="L297" t="s">
        <v>58</v>
      </c>
      <c r="M297" t="str">
        <f t="shared" si="4"/>
        <v>Nov</v>
      </c>
    </row>
    <row r="298" spans="1:13">
      <c r="A298" t="s">
        <v>691</v>
      </c>
      <c r="B298" t="s">
        <v>175</v>
      </c>
      <c r="C298" t="s">
        <v>222</v>
      </c>
      <c r="D298" t="s">
        <v>62</v>
      </c>
      <c r="E298" t="s">
        <v>47</v>
      </c>
      <c r="F298" t="s">
        <v>4</v>
      </c>
      <c r="G298">
        <v>3</v>
      </c>
      <c r="H298">
        <v>180000</v>
      </c>
      <c r="I298">
        <v>0</v>
      </c>
      <c r="J298">
        <v>540000</v>
      </c>
      <c r="K298">
        <v>161830.5</v>
      </c>
      <c r="L298" t="s">
        <v>71</v>
      </c>
      <c r="M298" t="str">
        <f t="shared" si="4"/>
        <v>Jun</v>
      </c>
    </row>
    <row r="299" spans="1:13">
      <c r="A299" t="s">
        <v>692</v>
      </c>
      <c r="B299" t="s">
        <v>584</v>
      </c>
      <c r="C299" t="s">
        <v>249</v>
      </c>
      <c r="D299" t="s">
        <v>129</v>
      </c>
      <c r="E299" t="s">
        <v>47</v>
      </c>
      <c r="F299" t="s">
        <v>4</v>
      </c>
      <c r="G299">
        <v>4</v>
      </c>
      <c r="H299">
        <v>650000</v>
      </c>
      <c r="I299">
        <v>0.15</v>
      </c>
      <c r="J299">
        <v>2210000</v>
      </c>
      <c r="K299">
        <v>556248.41</v>
      </c>
      <c r="L299" t="s">
        <v>58</v>
      </c>
      <c r="M299" t="str">
        <f t="shared" si="4"/>
        <v>Jun</v>
      </c>
    </row>
    <row r="300" spans="1:13">
      <c r="A300" t="s">
        <v>693</v>
      </c>
      <c r="B300" t="s">
        <v>694</v>
      </c>
      <c r="C300" t="s">
        <v>335</v>
      </c>
      <c r="D300" t="s">
        <v>75</v>
      </c>
      <c r="E300" t="s">
        <v>57</v>
      </c>
      <c r="F300" t="s">
        <v>6</v>
      </c>
      <c r="G300">
        <v>2</v>
      </c>
      <c r="H300">
        <v>35000</v>
      </c>
      <c r="I300">
        <v>0.15</v>
      </c>
      <c r="J300">
        <v>59500</v>
      </c>
      <c r="K300">
        <v>12050.49</v>
      </c>
      <c r="L300" t="s">
        <v>58</v>
      </c>
      <c r="M300" t="str">
        <f t="shared" si="4"/>
        <v>Jul</v>
      </c>
    </row>
    <row r="301" spans="1:13">
      <c r="A301" t="s">
        <v>695</v>
      </c>
      <c r="B301" t="s">
        <v>674</v>
      </c>
      <c r="C301" t="s">
        <v>153</v>
      </c>
      <c r="D301" t="s">
        <v>90</v>
      </c>
      <c r="E301" t="s">
        <v>86</v>
      </c>
      <c r="F301" t="s">
        <v>3</v>
      </c>
      <c r="G301">
        <v>5</v>
      </c>
      <c r="H301">
        <v>45000</v>
      </c>
      <c r="I301">
        <v>0.1</v>
      </c>
      <c r="J301">
        <v>202500</v>
      </c>
      <c r="K301">
        <v>19956.990000000002</v>
      </c>
      <c r="L301" t="s">
        <v>58</v>
      </c>
      <c r="M301" t="str">
        <f t="shared" si="4"/>
        <v>Jan</v>
      </c>
    </row>
    <row r="302" spans="1:13">
      <c r="A302" t="s">
        <v>696</v>
      </c>
      <c r="B302" t="s">
        <v>697</v>
      </c>
      <c r="C302" t="s">
        <v>161</v>
      </c>
      <c r="D302" t="s">
        <v>62</v>
      </c>
      <c r="E302" t="s">
        <v>47</v>
      </c>
      <c r="F302" t="s">
        <v>4</v>
      </c>
      <c r="G302">
        <v>3</v>
      </c>
      <c r="H302">
        <v>180000</v>
      </c>
      <c r="I302">
        <v>0</v>
      </c>
      <c r="J302">
        <v>540000</v>
      </c>
      <c r="K302">
        <v>194847.66</v>
      </c>
      <c r="L302" t="s">
        <v>91</v>
      </c>
      <c r="M302" t="str">
        <f t="shared" si="4"/>
        <v>May</v>
      </c>
    </row>
    <row r="303" spans="1:13">
      <c r="A303" t="s">
        <v>698</v>
      </c>
      <c r="B303" t="s">
        <v>699</v>
      </c>
      <c r="C303" t="s">
        <v>190</v>
      </c>
      <c r="D303" t="s">
        <v>46</v>
      </c>
      <c r="E303" t="s">
        <v>47</v>
      </c>
      <c r="F303" t="s">
        <v>5</v>
      </c>
      <c r="G303">
        <v>2</v>
      </c>
      <c r="H303">
        <v>420000</v>
      </c>
      <c r="I303">
        <v>0</v>
      </c>
      <c r="J303">
        <v>840000</v>
      </c>
      <c r="K303">
        <v>317112.90999999997</v>
      </c>
      <c r="L303" t="s">
        <v>58</v>
      </c>
      <c r="M303" t="str">
        <f t="shared" si="4"/>
        <v>Oct</v>
      </c>
    </row>
    <row r="304" spans="1:13">
      <c r="A304" t="s">
        <v>700</v>
      </c>
      <c r="B304" t="s">
        <v>701</v>
      </c>
      <c r="C304" t="s">
        <v>196</v>
      </c>
      <c r="D304" t="s">
        <v>702</v>
      </c>
      <c r="E304" t="s">
        <v>47</v>
      </c>
      <c r="F304" t="s">
        <v>6</v>
      </c>
      <c r="G304">
        <v>5</v>
      </c>
      <c r="H304">
        <v>55000</v>
      </c>
      <c r="I304">
        <v>0</v>
      </c>
      <c r="J304">
        <v>275000</v>
      </c>
      <c r="K304">
        <v>88154.98</v>
      </c>
      <c r="L304" t="s">
        <v>48</v>
      </c>
      <c r="M304" t="str">
        <f t="shared" si="4"/>
        <v>Dec</v>
      </c>
    </row>
    <row r="305" spans="1:13">
      <c r="A305" t="s">
        <v>703</v>
      </c>
      <c r="B305" t="s">
        <v>704</v>
      </c>
      <c r="C305" t="s">
        <v>580</v>
      </c>
      <c r="D305" t="s">
        <v>118</v>
      </c>
      <c r="E305" t="s">
        <v>57</v>
      </c>
      <c r="F305" t="s">
        <v>2</v>
      </c>
      <c r="G305">
        <v>1</v>
      </c>
      <c r="H305">
        <v>120000</v>
      </c>
      <c r="I305">
        <v>0.2</v>
      </c>
      <c r="J305">
        <v>96000</v>
      </c>
      <c r="K305">
        <v>-2386.13</v>
      </c>
      <c r="L305" t="s">
        <v>58</v>
      </c>
      <c r="M305" t="str">
        <f t="shared" si="4"/>
        <v>Apr</v>
      </c>
    </row>
    <row r="306" spans="1:13">
      <c r="A306" t="s">
        <v>705</v>
      </c>
      <c r="B306" t="s">
        <v>706</v>
      </c>
      <c r="C306" t="s">
        <v>266</v>
      </c>
      <c r="D306" t="s">
        <v>62</v>
      </c>
      <c r="E306" t="s">
        <v>47</v>
      </c>
      <c r="F306" t="s">
        <v>4</v>
      </c>
      <c r="G306">
        <v>5</v>
      </c>
      <c r="H306">
        <v>180000</v>
      </c>
      <c r="I306">
        <v>0.05</v>
      </c>
      <c r="J306">
        <v>855000</v>
      </c>
      <c r="K306">
        <v>171550.13</v>
      </c>
      <c r="L306" t="s">
        <v>91</v>
      </c>
      <c r="M306" t="str">
        <f t="shared" si="4"/>
        <v>May</v>
      </c>
    </row>
    <row r="307" spans="1:13">
      <c r="A307" t="s">
        <v>707</v>
      </c>
      <c r="B307" t="s">
        <v>708</v>
      </c>
      <c r="C307" t="s">
        <v>709</v>
      </c>
      <c r="D307" t="s">
        <v>75</v>
      </c>
      <c r="E307" t="s">
        <v>57</v>
      </c>
      <c r="F307" t="s">
        <v>5</v>
      </c>
      <c r="G307">
        <v>3</v>
      </c>
      <c r="H307">
        <v>35000</v>
      </c>
      <c r="I307">
        <v>0.15</v>
      </c>
      <c r="J307">
        <v>89250</v>
      </c>
      <c r="K307">
        <v>6472.28</v>
      </c>
      <c r="L307" t="s">
        <v>71</v>
      </c>
      <c r="M307" t="str">
        <f t="shared" si="4"/>
        <v>May</v>
      </c>
    </row>
    <row r="308" spans="1:13">
      <c r="A308" t="s">
        <v>710</v>
      </c>
      <c r="B308" t="s">
        <v>163</v>
      </c>
      <c r="C308" t="s">
        <v>167</v>
      </c>
      <c r="D308" t="s">
        <v>85</v>
      </c>
      <c r="E308" t="s">
        <v>86</v>
      </c>
      <c r="F308" t="s">
        <v>2</v>
      </c>
      <c r="G308">
        <v>3</v>
      </c>
      <c r="H308">
        <v>12000</v>
      </c>
      <c r="I308">
        <v>0.05</v>
      </c>
      <c r="J308">
        <v>34200</v>
      </c>
      <c r="K308">
        <v>10376.6</v>
      </c>
      <c r="L308" t="s">
        <v>58</v>
      </c>
      <c r="M308" t="str">
        <f t="shared" si="4"/>
        <v>Apr</v>
      </c>
    </row>
    <row r="309" spans="1:13">
      <c r="A309" t="s">
        <v>711</v>
      </c>
      <c r="B309" t="s">
        <v>708</v>
      </c>
      <c r="C309" t="s">
        <v>249</v>
      </c>
      <c r="D309" t="s">
        <v>129</v>
      </c>
      <c r="E309" t="s">
        <v>47</v>
      </c>
      <c r="F309" t="s">
        <v>6</v>
      </c>
      <c r="G309">
        <v>5</v>
      </c>
      <c r="H309">
        <v>650000</v>
      </c>
      <c r="I309">
        <v>0.15</v>
      </c>
      <c r="J309">
        <v>2762500</v>
      </c>
      <c r="K309">
        <v>466802.08</v>
      </c>
      <c r="L309" t="s">
        <v>58</v>
      </c>
      <c r="M309" t="str">
        <f t="shared" si="4"/>
        <v>May</v>
      </c>
    </row>
    <row r="310" spans="1:13">
      <c r="A310" t="s">
        <v>712</v>
      </c>
      <c r="B310" t="s">
        <v>428</v>
      </c>
      <c r="C310" t="s">
        <v>713</v>
      </c>
      <c r="D310" t="s">
        <v>118</v>
      </c>
      <c r="E310" t="s">
        <v>57</v>
      </c>
      <c r="F310" t="s">
        <v>4</v>
      </c>
      <c r="G310">
        <v>2</v>
      </c>
      <c r="H310">
        <v>120000</v>
      </c>
      <c r="I310">
        <v>0.1</v>
      </c>
      <c r="J310">
        <v>216000</v>
      </c>
      <c r="K310">
        <v>47077.64</v>
      </c>
      <c r="L310" t="s">
        <v>91</v>
      </c>
      <c r="M310" t="str">
        <f t="shared" si="4"/>
        <v>Jun</v>
      </c>
    </row>
    <row r="311" spans="1:13">
      <c r="A311" t="s">
        <v>714</v>
      </c>
      <c r="B311" t="s">
        <v>300</v>
      </c>
      <c r="C311" t="s">
        <v>558</v>
      </c>
      <c r="D311" t="s">
        <v>75</v>
      </c>
      <c r="E311" t="s">
        <v>57</v>
      </c>
      <c r="F311" t="s">
        <v>2</v>
      </c>
      <c r="G311">
        <v>4</v>
      </c>
      <c r="H311">
        <v>35000</v>
      </c>
      <c r="I311">
        <v>0.1</v>
      </c>
      <c r="J311">
        <v>126000</v>
      </c>
      <c r="K311">
        <v>42640.77</v>
      </c>
      <c r="L311" t="s">
        <v>58</v>
      </c>
      <c r="M311" t="str">
        <f t="shared" si="4"/>
        <v>Sep</v>
      </c>
    </row>
    <row r="312" spans="1:13">
      <c r="A312" t="s">
        <v>715</v>
      </c>
      <c r="B312" t="s">
        <v>300</v>
      </c>
      <c r="C312" t="s">
        <v>327</v>
      </c>
      <c r="D312" t="s">
        <v>56</v>
      </c>
      <c r="E312" t="s">
        <v>57</v>
      </c>
      <c r="F312" t="s">
        <v>3</v>
      </c>
      <c r="G312">
        <v>2</v>
      </c>
      <c r="H312">
        <v>210000</v>
      </c>
      <c r="I312">
        <v>0.15</v>
      </c>
      <c r="J312">
        <v>357000</v>
      </c>
      <c r="K312">
        <v>13697.31</v>
      </c>
      <c r="L312" t="s">
        <v>48</v>
      </c>
      <c r="M312" t="str">
        <f t="shared" si="4"/>
        <v>Sep</v>
      </c>
    </row>
    <row r="313" spans="1:13">
      <c r="A313" t="s">
        <v>716</v>
      </c>
      <c r="B313" t="s">
        <v>717</v>
      </c>
      <c r="C313" t="s">
        <v>51</v>
      </c>
      <c r="D313" t="s">
        <v>46</v>
      </c>
      <c r="E313" t="s">
        <v>47</v>
      </c>
      <c r="F313" t="s">
        <v>5</v>
      </c>
      <c r="G313">
        <v>1</v>
      </c>
      <c r="H313">
        <v>420000</v>
      </c>
      <c r="I313">
        <v>0</v>
      </c>
      <c r="J313">
        <v>420000</v>
      </c>
      <c r="K313">
        <v>142234.72</v>
      </c>
      <c r="L313" t="s">
        <v>58</v>
      </c>
      <c r="M313" t="str">
        <f t="shared" si="4"/>
        <v>Dec</v>
      </c>
    </row>
    <row r="314" spans="1:13">
      <c r="A314" t="s">
        <v>718</v>
      </c>
      <c r="B314" t="s">
        <v>688</v>
      </c>
      <c r="C314" t="s">
        <v>310</v>
      </c>
      <c r="D314" t="s">
        <v>129</v>
      </c>
      <c r="E314" t="s">
        <v>47</v>
      </c>
      <c r="F314" t="s">
        <v>4</v>
      </c>
      <c r="G314">
        <v>5</v>
      </c>
      <c r="H314">
        <v>650000</v>
      </c>
      <c r="I314">
        <v>0.1</v>
      </c>
      <c r="J314">
        <v>2925000</v>
      </c>
      <c r="K314">
        <v>810016.39</v>
      </c>
      <c r="L314" t="s">
        <v>48</v>
      </c>
      <c r="M314" t="str">
        <f t="shared" si="4"/>
        <v>Apr</v>
      </c>
    </row>
    <row r="315" spans="1:13">
      <c r="A315" t="s">
        <v>719</v>
      </c>
      <c r="B315" t="s">
        <v>720</v>
      </c>
      <c r="C315" t="s">
        <v>109</v>
      </c>
      <c r="D315" t="s">
        <v>129</v>
      </c>
      <c r="E315" t="s">
        <v>47</v>
      </c>
      <c r="F315" t="s">
        <v>6</v>
      </c>
      <c r="G315">
        <v>5</v>
      </c>
      <c r="H315">
        <v>650000</v>
      </c>
      <c r="I315">
        <v>0.1</v>
      </c>
      <c r="J315">
        <v>2925000</v>
      </c>
      <c r="K315">
        <v>1127100.78</v>
      </c>
      <c r="L315" t="s">
        <v>91</v>
      </c>
      <c r="M315" t="str">
        <f t="shared" si="4"/>
        <v>Sep</v>
      </c>
    </row>
    <row r="316" spans="1:13">
      <c r="A316" t="s">
        <v>721</v>
      </c>
      <c r="B316" t="s">
        <v>722</v>
      </c>
      <c r="C316" t="s">
        <v>452</v>
      </c>
      <c r="D316" t="s">
        <v>129</v>
      </c>
      <c r="E316" t="s">
        <v>47</v>
      </c>
      <c r="F316" t="s">
        <v>3</v>
      </c>
      <c r="G316">
        <v>4</v>
      </c>
      <c r="H316">
        <v>650000</v>
      </c>
      <c r="I316">
        <v>0</v>
      </c>
      <c r="J316">
        <v>2600000</v>
      </c>
      <c r="K316">
        <v>1094874.47</v>
      </c>
      <c r="L316" t="s">
        <v>58</v>
      </c>
      <c r="M316" t="str">
        <f t="shared" si="4"/>
        <v>Sep</v>
      </c>
    </row>
    <row r="317" spans="1:13">
      <c r="A317" t="s">
        <v>723</v>
      </c>
      <c r="B317" t="s">
        <v>516</v>
      </c>
      <c r="C317" t="s">
        <v>558</v>
      </c>
      <c r="D317" t="s">
        <v>118</v>
      </c>
      <c r="E317" t="s">
        <v>57</v>
      </c>
      <c r="F317" t="s">
        <v>6</v>
      </c>
      <c r="G317">
        <v>5</v>
      </c>
      <c r="H317">
        <v>120000</v>
      </c>
      <c r="I317">
        <v>0.15</v>
      </c>
      <c r="J317">
        <v>510000</v>
      </c>
      <c r="K317">
        <v>139108.25</v>
      </c>
      <c r="L317" t="s">
        <v>71</v>
      </c>
      <c r="M317" t="str">
        <f t="shared" si="4"/>
        <v>Apr</v>
      </c>
    </row>
    <row r="318" spans="1:13">
      <c r="A318" t="s">
        <v>724</v>
      </c>
      <c r="B318" t="s">
        <v>108</v>
      </c>
      <c r="C318" t="s">
        <v>335</v>
      </c>
      <c r="D318" t="s">
        <v>46</v>
      </c>
      <c r="E318" t="s">
        <v>47</v>
      </c>
      <c r="F318" t="s">
        <v>6</v>
      </c>
      <c r="G318">
        <v>4</v>
      </c>
      <c r="H318">
        <v>420000</v>
      </c>
      <c r="I318">
        <v>0.1</v>
      </c>
      <c r="J318">
        <v>1512000</v>
      </c>
      <c r="K318">
        <v>331715.01</v>
      </c>
      <c r="L318" t="s">
        <v>48</v>
      </c>
      <c r="M318" t="str">
        <f t="shared" si="4"/>
        <v>Jul</v>
      </c>
    </row>
    <row r="319" spans="1:13">
      <c r="A319" t="s">
        <v>725</v>
      </c>
      <c r="B319" t="s">
        <v>726</v>
      </c>
      <c r="C319" t="s">
        <v>227</v>
      </c>
      <c r="D319" t="s">
        <v>129</v>
      </c>
      <c r="E319" t="s">
        <v>47</v>
      </c>
      <c r="F319" t="s">
        <v>5</v>
      </c>
      <c r="G319">
        <v>4</v>
      </c>
      <c r="H319">
        <v>650000</v>
      </c>
      <c r="I319">
        <v>0.1</v>
      </c>
      <c r="J319">
        <v>2340000</v>
      </c>
      <c r="K319">
        <v>645226.96</v>
      </c>
      <c r="L319" t="s">
        <v>48</v>
      </c>
      <c r="M319" t="str">
        <f t="shared" si="4"/>
        <v>Feb</v>
      </c>
    </row>
    <row r="320" spans="1:13">
      <c r="A320" t="s">
        <v>727</v>
      </c>
      <c r="B320" t="s">
        <v>728</v>
      </c>
      <c r="C320" t="s">
        <v>375</v>
      </c>
      <c r="D320" t="s">
        <v>110</v>
      </c>
      <c r="E320" t="s">
        <v>47</v>
      </c>
      <c r="F320" t="s">
        <v>3</v>
      </c>
      <c r="G320">
        <v>4</v>
      </c>
      <c r="H320">
        <v>85000</v>
      </c>
      <c r="I320">
        <v>0.1</v>
      </c>
      <c r="J320">
        <v>306000</v>
      </c>
      <c r="K320">
        <v>59797.52</v>
      </c>
      <c r="L320" t="s">
        <v>48</v>
      </c>
      <c r="M320" t="str">
        <f t="shared" si="4"/>
        <v>Feb</v>
      </c>
    </row>
    <row r="321" spans="1:13">
      <c r="A321" t="s">
        <v>729</v>
      </c>
      <c r="B321" t="s">
        <v>283</v>
      </c>
      <c r="C321" t="s">
        <v>84</v>
      </c>
      <c r="D321" t="s">
        <v>56</v>
      </c>
      <c r="E321" t="s">
        <v>57</v>
      </c>
      <c r="F321" t="s">
        <v>4</v>
      </c>
      <c r="G321">
        <v>2</v>
      </c>
      <c r="H321">
        <v>210000</v>
      </c>
      <c r="I321">
        <v>0</v>
      </c>
      <c r="J321">
        <v>420000</v>
      </c>
      <c r="K321">
        <v>86795.65</v>
      </c>
      <c r="L321" t="s">
        <v>91</v>
      </c>
      <c r="M321" t="str">
        <f t="shared" si="4"/>
        <v>Jan</v>
      </c>
    </row>
    <row r="322" spans="1:13">
      <c r="A322" t="s">
        <v>730</v>
      </c>
      <c r="B322" t="s">
        <v>186</v>
      </c>
      <c r="C322" t="s">
        <v>128</v>
      </c>
      <c r="D322" t="s">
        <v>129</v>
      </c>
      <c r="E322" t="s">
        <v>47</v>
      </c>
      <c r="F322" t="s">
        <v>2</v>
      </c>
      <c r="G322">
        <v>3</v>
      </c>
      <c r="H322">
        <v>650000</v>
      </c>
      <c r="I322">
        <v>0.15</v>
      </c>
      <c r="J322">
        <v>1657500</v>
      </c>
      <c r="K322">
        <v>288312.06</v>
      </c>
      <c r="L322" t="s">
        <v>91</v>
      </c>
      <c r="M322" t="str">
        <f t="shared" si="4"/>
        <v>Feb</v>
      </c>
    </row>
    <row r="323" spans="1:13">
      <c r="A323" t="s">
        <v>731</v>
      </c>
      <c r="B323" t="s">
        <v>631</v>
      </c>
      <c r="C323" t="s">
        <v>639</v>
      </c>
      <c r="D323" t="s">
        <v>129</v>
      </c>
      <c r="E323" t="s">
        <v>47</v>
      </c>
      <c r="F323" t="s">
        <v>5</v>
      </c>
      <c r="G323">
        <v>5</v>
      </c>
      <c r="H323">
        <v>650000</v>
      </c>
      <c r="I323">
        <v>0</v>
      </c>
      <c r="J323">
        <v>3250000</v>
      </c>
      <c r="K323">
        <v>802396.7</v>
      </c>
      <c r="L323" t="s">
        <v>91</v>
      </c>
      <c r="M323" t="str">
        <f t="shared" ref="M323:M386" si="5">TEXT(B323,"mmm")</f>
        <v>Apr</v>
      </c>
    </row>
    <row r="324" spans="1:13">
      <c r="A324" t="s">
        <v>732</v>
      </c>
      <c r="B324" t="s">
        <v>493</v>
      </c>
      <c r="C324" t="s">
        <v>258</v>
      </c>
      <c r="D324" t="s">
        <v>110</v>
      </c>
      <c r="E324" t="s">
        <v>47</v>
      </c>
      <c r="F324" t="s">
        <v>3</v>
      </c>
      <c r="G324">
        <v>2</v>
      </c>
      <c r="H324">
        <v>85000</v>
      </c>
      <c r="I324">
        <v>0.15</v>
      </c>
      <c r="J324">
        <v>144500</v>
      </c>
      <c r="K324">
        <v>12689.54</v>
      </c>
      <c r="L324" t="s">
        <v>91</v>
      </c>
      <c r="M324" t="str">
        <f t="shared" si="5"/>
        <v>Oct</v>
      </c>
    </row>
    <row r="325" spans="1:13">
      <c r="A325" t="s">
        <v>733</v>
      </c>
      <c r="B325" t="s">
        <v>734</v>
      </c>
      <c r="C325" t="s">
        <v>735</v>
      </c>
      <c r="D325" t="s">
        <v>62</v>
      </c>
      <c r="E325" t="s">
        <v>47</v>
      </c>
      <c r="F325" t="s">
        <v>5</v>
      </c>
      <c r="G325">
        <v>1</v>
      </c>
      <c r="H325">
        <v>180000</v>
      </c>
      <c r="I325">
        <v>0.15</v>
      </c>
      <c r="J325">
        <v>153000</v>
      </c>
      <c r="K325">
        <v>17770.810000000001</v>
      </c>
      <c r="L325" t="s">
        <v>48</v>
      </c>
      <c r="M325" t="str">
        <f t="shared" si="5"/>
        <v>Mar</v>
      </c>
    </row>
    <row r="326" spans="1:13">
      <c r="A326" t="s">
        <v>736</v>
      </c>
      <c r="B326" t="s">
        <v>737</v>
      </c>
      <c r="C326" t="s">
        <v>639</v>
      </c>
      <c r="D326" t="s">
        <v>62</v>
      </c>
      <c r="E326" t="s">
        <v>47</v>
      </c>
      <c r="F326" t="s">
        <v>6</v>
      </c>
      <c r="G326">
        <v>1</v>
      </c>
      <c r="H326">
        <v>180000</v>
      </c>
      <c r="I326">
        <v>0.05</v>
      </c>
      <c r="J326">
        <v>171000</v>
      </c>
      <c r="K326">
        <v>42588.800000000003</v>
      </c>
      <c r="L326" t="s">
        <v>48</v>
      </c>
      <c r="M326" t="str">
        <f t="shared" si="5"/>
        <v>Apr</v>
      </c>
    </row>
    <row r="327" spans="1:13">
      <c r="A327" t="s">
        <v>738</v>
      </c>
      <c r="B327" t="s">
        <v>244</v>
      </c>
      <c r="C327" t="s">
        <v>279</v>
      </c>
      <c r="D327" t="s">
        <v>75</v>
      </c>
      <c r="E327" t="s">
        <v>57</v>
      </c>
      <c r="F327" t="s">
        <v>4</v>
      </c>
      <c r="G327">
        <v>4</v>
      </c>
      <c r="H327">
        <v>35000</v>
      </c>
      <c r="I327">
        <v>0</v>
      </c>
      <c r="J327">
        <v>140000</v>
      </c>
      <c r="K327">
        <v>49550.34</v>
      </c>
      <c r="L327" t="s">
        <v>58</v>
      </c>
      <c r="M327" t="str">
        <f t="shared" si="5"/>
        <v>Aug</v>
      </c>
    </row>
    <row r="328" spans="1:13">
      <c r="A328" t="s">
        <v>739</v>
      </c>
      <c r="B328" t="s">
        <v>334</v>
      </c>
      <c r="C328" t="s">
        <v>219</v>
      </c>
      <c r="D328" t="s">
        <v>52</v>
      </c>
      <c r="E328" t="s">
        <v>47</v>
      </c>
      <c r="F328" t="s">
        <v>2</v>
      </c>
      <c r="G328">
        <v>4</v>
      </c>
      <c r="H328">
        <v>55000</v>
      </c>
      <c r="I328">
        <v>0</v>
      </c>
      <c r="J328">
        <v>220000</v>
      </c>
      <c r="K328">
        <v>53133.26</v>
      </c>
      <c r="L328" t="s">
        <v>48</v>
      </c>
      <c r="M328" t="str">
        <f t="shared" si="5"/>
        <v>Dec</v>
      </c>
    </row>
    <row r="329" spans="1:13">
      <c r="A329" t="s">
        <v>740</v>
      </c>
      <c r="B329" t="s">
        <v>741</v>
      </c>
      <c r="C329" t="s">
        <v>742</v>
      </c>
      <c r="D329" t="s">
        <v>46</v>
      </c>
      <c r="E329" t="s">
        <v>47</v>
      </c>
      <c r="F329" t="s">
        <v>4</v>
      </c>
      <c r="G329">
        <v>2</v>
      </c>
      <c r="H329">
        <v>420000</v>
      </c>
      <c r="I329">
        <v>0.1</v>
      </c>
      <c r="J329">
        <v>756000</v>
      </c>
      <c r="K329">
        <v>132591.62</v>
      </c>
      <c r="L329" t="s">
        <v>91</v>
      </c>
      <c r="M329" t="str">
        <f t="shared" si="5"/>
        <v>May</v>
      </c>
    </row>
    <row r="330" spans="1:13">
      <c r="A330" t="s">
        <v>743</v>
      </c>
      <c r="B330" t="s">
        <v>484</v>
      </c>
      <c r="C330" t="s">
        <v>344</v>
      </c>
      <c r="D330" t="s">
        <v>85</v>
      </c>
      <c r="E330" t="s">
        <v>86</v>
      </c>
      <c r="F330" t="s">
        <v>6</v>
      </c>
      <c r="G330">
        <v>1</v>
      </c>
      <c r="H330">
        <v>12000</v>
      </c>
      <c r="I330">
        <v>0</v>
      </c>
      <c r="J330">
        <v>12000</v>
      </c>
      <c r="K330">
        <v>2344.81</v>
      </c>
      <c r="L330" t="s">
        <v>91</v>
      </c>
      <c r="M330" t="str">
        <f t="shared" si="5"/>
        <v>Feb</v>
      </c>
    </row>
    <row r="331" spans="1:13">
      <c r="A331" t="s">
        <v>744</v>
      </c>
      <c r="B331" t="s">
        <v>406</v>
      </c>
      <c r="C331" t="s">
        <v>153</v>
      </c>
      <c r="D331" t="s">
        <v>46</v>
      </c>
      <c r="E331" t="s">
        <v>47</v>
      </c>
      <c r="F331" t="s">
        <v>3</v>
      </c>
      <c r="G331">
        <v>1</v>
      </c>
      <c r="H331">
        <v>420000</v>
      </c>
      <c r="I331">
        <v>0</v>
      </c>
      <c r="J331">
        <v>420000</v>
      </c>
      <c r="K331">
        <v>140126.92000000001</v>
      </c>
      <c r="L331" t="s">
        <v>71</v>
      </c>
      <c r="M331" t="str">
        <f t="shared" si="5"/>
        <v>Mar</v>
      </c>
    </row>
    <row r="332" spans="1:13">
      <c r="A332" t="s">
        <v>745</v>
      </c>
      <c r="B332" t="s">
        <v>746</v>
      </c>
      <c r="C332" t="s">
        <v>404</v>
      </c>
      <c r="D332" t="s">
        <v>46</v>
      </c>
      <c r="E332" t="s">
        <v>47</v>
      </c>
      <c r="F332" t="s">
        <v>4</v>
      </c>
      <c r="G332">
        <v>1</v>
      </c>
      <c r="H332">
        <v>420000</v>
      </c>
      <c r="I332">
        <v>0.05</v>
      </c>
      <c r="J332">
        <v>399000</v>
      </c>
      <c r="K332">
        <v>105151.47</v>
      </c>
      <c r="L332" t="s">
        <v>48</v>
      </c>
      <c r="M332" t="str">
        <f t="shared" si="5"/>
        <v>Jan</v>
      </c>
    </row>
    <row r="333" spans="1:13">
      <c r="A333" t="s">
        <v>747</v>
      </c>
      <c r="B333" t="s">
        <v>748</v>
      </c>
      <c r="C333" t="s">
        <v>460</v>
      </c>
      <c r="D333" t="s">
        <v>75</v>
      </c>
      <c r="E333" t="s">
        <v>57</v>
      </c>
      <c r="F333" t="s">
        <v>2</v>
      </c>
      <c r="G333">
        <v>4</v>
      </c>
      <c r="H333">
        <v>35000</v>
      </c>
      <c r="I333">
        <v>0</v>
      </c>
      <c r="J333">
        <v>140000</v>
      </c>
      <c r="K333">
        <v>35600.9</v>
      </c>
      <c r="L333" t="s">
        <v>58</v>
      </c>
      <c r="M333" t="str">
        <f t="shared" si="5"/>
        <v>Jul</v>
      </c>
    </row>
    <row r="334" spans="1:13">
      <c r="A334" t="s">
        <v>749</v>
      </c>
      <c r="B334" t="s">
        <v>750</v>
      </c>
      <c r="C334" t="s">
        <v>656</v>
      </c>
      <c r="D334" t="s">
        <v>62</v>
      </c>
      <c r="E334" t="s">
        <v>47</v>
      </c>
      <c r="F334" t="s">
        <v>2</v>
      </c>
      <c r="G334">
        <v>2</v>
      </c>
      <c r="H334">
        <v>180000</v>
      </c>
      <c r="I334">
        <v>0.05</v>
      </c>
      <c r="J334">
        <v>342000</v>
      </c>
      <c r="K334">
        <v>114730.04</v>
      </c>
      <c r="L334" t="s">
        <v>48</v>
      </c>
      <c r="M334" t="str">
        <f t="shared" si="5"/>
        <v>Mar</v>
      </c>
    </row>
    <row r="335" spans="1:13">
      <c r="A335" t="s">
        <v>751</v>
      </c>
      <c r="B335" t="s">
        <v>210</v>
      </c>
      <c r="C335" t="s">
        <v>144</v>
      </c>
      <c r="D335" t="s">
        <v>110</v>
      </c>
      <c r="E335" t="s">
        <v>47</v>
      </c>
      <c r="F335" t="s">
        <v>6</v>
      </c>
      <c r="G335">
        <v>3</v>
      </c>
      <c r="H335">
        <v>85000</v>
      </c>
      <c r="I335">
        <v>0.1</v>
      </c>
      <c r="J335">
        <v>229500</v>
      </c>
      <c r="K335">
        <v>68612.06</v>
      </c>
      <c r="L335" t="s">
        <v>91</v>
      </c>
      <c r="M335" t="str">
        <f t="shared" si="5"/>
        <v>Aug</v>
      </c>
    </row>
    <row r="336" spans="1:13">
      <c r="A336" t="s">
        <v>752</v>
      </c>
      <c r="B336" t="s">
        <v>329</v>
      </c>
      <c r="C336" t="s">
        <v>482</v>
      </c>
      <c r="D336" t="s">
        <v>118</v>
      </c>
      <c r="E336" t="s">
        <v>57</v>
      </c>
      <c r="F336" t="s">
        <v>5</v>
      </c>
      <c r="G336">
        <v>4</v>
      </c>
      <c r="H336">
        <v>120000</v>
      </c>
      <c r="I336">
        <v>0.15</v>
      </c>
      <c r="J336">
        <v>408000</v>
      </c>
      <c r="K336">
        <v>64079.72</v>
      </c>
      <c r="L336" t="s">
        <v>58</v>
      </c>
      <c r="M336" t="str">
        <f t="shared" si="5"/>
        <v>Nov</v>
      </c>
    </row>
    <row r="337" spans="1:13">
      <c r="A337" t="s">
        <v>753</v>
      </c>
      <c r="B337" t="s">
        <v>475</v>
      </c>
      <c r="C337" t="s">
        <v>266</v>
      </c>
      <c r="D337" t="s">
        <v>75</v>
      </c>
      <c r="E337" t="s">
        <v>57</v>
      </c>
      <c r="F337" t="s">
        <v>6</v>
      </c>
      <c r="G337">
        <v>4</v>
      </c>
      <c r="H337">
        <v>35000</v>
      </c>
      <c r="I337">
        <v>0.05</v>
      </c>
      <c r="J337">
        <v>133000</v>
      </c>
      <c r="K337">
        <v>24187.01</v>
      </c>
      <c r="L337" t="s">
        <v>71</v>
      </c>
      <c r="M337" t="str">
        <f t="shared" si="5"/>
        <v>Jan</v>
      </c>
    </row>
    <row r="338" spans="1:13">
      <c r="A338" t="s">
        <v>754</v>
      </c>
      <c r="B338" t="s">
        <v>215</v>
      </c>
      <c r="C338" t="s">
        <v>270</v>
      </c>
      <c r="D338" t="s">
        <v>85</v>
      </c>
      <c r="E338" t="s">
        <v>86</v>
      </c>
      <c r="F338" t="s">
        <v>4</v>
      </c>
      <c r="G338">
        <v>5</v>
      </c>
      <c r="H338">
        <v>12000</v>
      </c>
      <c r="I338">
        <v>0</v>
      </c>
      <c r="J338">
        <v>60000</v>
      </c>
      <c r="K338">
        <v>22132.95</v>
      </c>
      <c r="L338" t="s">
        <v>91</v>
      </c>
      <c r="M338" t="str">
        <f t="shared" si="5"/>
        <v>Aug</v>
      </c>
    </row>
    <row r="339" spans="1:13">
      <c r="A339" t="s">
        <v>755</v>
      </c>
      <c r="B339" t="s">
        <v>756</v>
      </c>
      <c r="C339" t="s">
        <v>301</v>
      </c>
      <c r="D339" t="s">
        <v>110</v>
      </c>
      <c r="E339" t="s">
        <v>47</v>
      </c>
      <c r="F339" t="s">
        <v>3</v>
      </c>
      <c r="G339">
        <v>3</v>
      </c>
      <c r="H339">
        <v>85000</v>
      </c>
      <c r="I339">
        <v>0.05</v>
      </c>
      <c r="J339">
        <v>242250</v>
      </c>
      <c r="K339">
        <v>51403.9</v>
      </c>
      <c r="L339" t="s">
        <v>58</v>
      </c>
      <c r="M339" t="str">
        <f t="shared" si="5"/>
        <v>Jul</v>
      </c>
    </row>
    <row r="340" spans="1:13">
      <c r="A340" t="s">
        <v>757</v>
      </c>
      <c r="B340" t="s">
        <v>694</v>
      </c>
      <c r="C340" t="s">
        <v>167</v>
      </c>
      <c r="D340" t="s">
        <v>85</v>
      </c>
      <c r="E340" t="s">
        <v>86</v>
      </c>
      <c r="F340" t="s">
        <v>2</v>
      </c>
      <c r="G340">
        <v>3</v>
      </c>
      <c r="H340">
        <v>12000</v>
      </c>
      <c r="I340">
        <v>0.1</v>
      </c>
      <c r="J340">
        <v>32400</v>
      </c>
      <c r="K340">
        <v>9052.0499999999993</v>
      </c>
      <c r="L340" t="s">
        <v>58</v>
      </c>
      <c r="M340" t="str">
        <f t="shared" si="5"/>
        <v>Jul</v>
      </c>
    </row>
    <row r="341" spans="1:13">
      <c r="A341" t="s">
        <v>758</v>
      </c>
      <c r="B341" t="s">
        <v>746</v>
      </c>
      <c r="C341" t="s">
        <v>689</v>
      </c>
      <c r="D341" t="s">
        <v>56</v>
      </c>
      <c r="E341" t="s">
        <v>57</v>
      </c>
      <c r="F341" t="s">
        <v>5</v>
      </c>
      <c r="G341">
        <v>4</v>
      </c>
      <c r="H341">
        <v>210000</v>
      </c>
      <c r="I341">
        <v>0.2</v>
      </c>
      <c r="J341">
        <v>672000</v>
      </c>
      <c r="K341">
        <v>162451.74</v>
      </c>
      <c r="L341" t="s">
        <v>71</v>
      </c>
      <c r="M341" t="str">
        <f t="shared" si="5"/>
        <v>Jan</v>
      </c>
    </row>
    <row r="342" spans="1:13">
      <c r="A342" t="s">
        <v>759</v>
      </c>
      <c r="B342" t="s">
        <v>734</v>
      </c>
      <c r="C342" t="s">
        <v>742</v>
      </c>
      <c r="D342" t="s">
        <v>90</v>
      </c>
      <c r="E342" t="s">
        <v>86</v>
      </c>
      <c r="F342" t="s">
        <v>4</v>
      </c>
      <c r="G342">
        <v>3</v>
      </c>
      <c r="H342">
        <v>45000</v>
      </c>
      <c r="I342">
        <v>0</v>
      </c>
      <c r="J342">
        <v>135000</v>
      </c>
      <c r="K342">
        <v>51539.75</v>
      </c>
      <c r="L342" t="s">
        <v>71</v>
      </c>
      <c r="M342" t="str">
        <f t="shared" si="5"/>
        <v>Mar</v>
      </c>
    </row>
    <row r="343" spans="1:13">
      <c r="A343" t="s">
        <v>760</v>
      </c>
      <c r="B343" t="s">
        <v>761</v>
      </c>
      <c r="C343" t="s">
        <v>762</v>
      </c>
      <c r="D343" t="s">
        <v>46</v>
      </c>
      <c r="E343" t="s">
        <v>47</v>
      </c>
      <c r="F343" t="s">
        <v>3</v>
      </c>
      <c r="G343">
        <v>5</v>
      </c>
      <c r="H343">
        <v>420000</v>
      </c>
      <c r="I343">
        <v>0.1</v>
      </c>
      <c r="J343">
        <v>1890000</v>
      </c>
      <c r="K343">
        <v>404867.64</v>
      </c>
      <c r="L343" t="s">
        <v>71</v>
      </c>
      <c r="M343" t="str">
        <f t="shared" si="5"/>
        <v>Aug</v>
      </c>
    </row>
    <row r="344" spans="1:13">
      <c r="A344" t="s">
        <v>763</v>
      </c>
      <c r="B344" t="s">
        <v>374</v>
      </c>
      <c r="C344" t="s">
        <v>287</v>
      </c>
      <c r="D344" t="s">
        <v>56</v>
      </c>
      <c r="E344" t="s">
        <v>57</v>
      </c>
      <c r="F344" t="s">
        <v>3</v>
      </c>
      <c r="G344">
        <v>3</v>
      </c>
      <c r="H344">
        <v>210000</v>
      </c>
      <c r="I344">
        <v>0.2</v>
      </c>
      <c r="J344">
        <v>504000</v>
      </c>
      <c r="K344">
        <v>5175.1899999999996</v>
      </c>
      <c r="L344" t="s">
        <v>48</v>
      </c>
      <c r="M344" t="str">
        <f t="shared" si="5"/>
        <v>Jan</v>
      </c>
    </row>
    <row r="345" spans="1:13">
      <c r="A345" t="s">
        <v>764</v>
      </c>
      <c r="B345" t="s">
        <v>765</v>
      </c>
      <c r="C345" t="s">
        <v>65</v>
      </c>
      <c r="D345" t="s">
        <v>46</v>
      </c>
      <c r="E345" t="s">
        <v>47</v>
      </c>
      <c r="F345" t="s">
        <v>3</v>
      </c>
      <c r="G345">
        <v>3</v>
      </c>
      <c r="H345">
        <v>420000</v>
      </c>
      <c r="I345">
        <v>0</v>
      </c>
      <c r="J345">
        <v>1260000</v>
      </c>
      <c r="K345">
        <v>346890.65</v>
      </c>
      <c r="L345" t="s">
        <v>71</v>
      </c>
      <c r="M345" t="str">
        <f t="shared" si="5"/>
        <v>May</v>
      </c>
    </row>
    <row r="346" spans="1:13">
      <c r="A346" t="s">
        <v>766</v>
      </c>
      <c r="B346" t="s">
        <v>215</v>
      </c>
      <c r="C346" t="s">
        <v>236</v>
      </c>
      <c r="D346" t="s">
        <v>85</v>
      </c>
      <c r="E346" t="s">
        <v>86</v>
      </c>
      <c r="F346" t="s">
        <v>3</v>
      </c>
      <c r="G346">
        <v>1</v>
      </c>
      <c r="H346">
        <v>12000</v>
      </c>
      <c r="I346">
        <v>0</v>
      </c>
      <c r="J346">
        <v>12000</v>
      </c>
      <c r="K346">
        <v>5080.51</v>
      </c>
      <c r="L346" t="s">
        <v>58</v>
      </c>
      <c r="M346" t="str">
        <f t="shared" si="5"/>
        <v>Aug</v>
      </c>
    </row>
    <row r="347" spans="1:13">
      <c r="A347" t="s">
        <v>767</v>
      </c>
      <c r="B347" t="s">
        <v>108</v>
      </c>
      <c r="C347" t="s">
        <v>501</v>
      </c>
      <c r="D347" t="s">
        <v>90</v>
      </c>
      <c r="E347" t="s">
        <v>86</v>
      </c>
      <c r="F347" t="s">
        <v>2</v>
      </c>
      <c r="G347">
        <v>4</v>
      </c>
      <c r="H347">
        <v>45000</v>
      </c>
      <c r="I347">
        <v>0.1</v>
      </c>
      <c r="J347">
        <v>162000</v>
      </c>
      <c r="K347">
        <v>25464.17</v>
      </c>
      <c r="L347" t="s">
        <v>91</v>
      </c>
      <c r="M347" t="str">
        <f t="shared" si="5"/>
        <v>Jul</v>
      </c>
    </row>
    <row r="348" spans="1:13">
      <c r="A348" t="s">
        <v>768</v>
      </c>
      <c r="B348" t="s">
        <v>598</v>
      </c>
      <c r="C348" t="s">
        <v>769</v>
      </c>
      <c r="D348" t="s">
        <v>129</v>
      </c>
      <c r="E348" t="s">
        <v>47</v>
      </c>
      <c r="F348" t="s">
        <v>5</v>
      </c>
      <c r="G348">
        <v>1</v>
      </c>
      <c r="H348">
        <v>650000</v>
      </c>
      <c r="I348">
        <v>0.05</v>
      </c>
      <c r="J348">
        <v>617500</v>
      </c>
      <c r="K348">
        <v>186996.31</v>
      </c>
      <c r="L348" t="s">
        <v>58</v>
      </c>
      <c r="M348" t="str">
        <f t="shared" si="5"/>
        <v>Sep</v>
      </c>
    </row>
    <row r="349" spans="1:13">
      <c r="A349" t="s">
        <v>770</v>
      </c>
      <c r="B349" t="s">
        <v>771</v>
      </c>
      <c r="C349" t="s">
        <v>772</v>
      </c>
      <c r="D349" t="s">
        <v>85</v>
      </c>
      <c r="E349" t="s">
        <v>86</v>
      </c>
      <c r="F349" t="s">
        <v>4</v>
      </c>
      <c r="G349">
        <v>3</v>
      </c>
      <c r="H349">
        <v>12000</v>
      </c>
      <c r="I349">
        <v>0.1</v>
      </c>
      <c r="J349">
        <v>32400</v>
      </c>
      <c r="K349">
        <v>4976.8999999999996</v>
      </c>
      <c r="L349" t="s">
        <v>91</v>
      </c>
      <c r="M349" t="str">
        <f t="shared" si="5"/>
        <v>Jun</v>
      </c>
    </row>
    <row r="350" spans="1:13">
      <c r="A350" t="s">
        <v>773</v>
      </c>
      <c r="B350" t="s">
        <v>64</v>
      </c>
      <c r="C350" t="s">
        <v>620</v>
      </c>
      <c r="D350" t="s">
        <v>90</v>
      </c>
      <c r="E350" t="s">
        <v>86</v>
      </c>
      <c r="F350" t="s">
        <v>5</v>
      </c>
      <c r="G350">
        <v>4</v>
      </c>
      <c r="H350">
        <v>45000</v>
      </c>
      <c r="I350">
        <v>0.2</v>
      </c>
      <c r="J350">
        <v>144000</v>
      </c>
      <c r="K350">
        <v>11137.31</v>
      </c>
      <c r="L350" t="s">
        <v>91</v>
      </c>
      <c r="M350" t="str">
        <f t="shared" si="5"/>
        <v>Feb</v>
      </c>
    </row>
    <row r="351" spans="1:13">
      <c r="A351" t="s">
        <v>774</v>
      </c>
      <c r="B351" t="s">
        <v>775</v>
      </c>
      <c r="C351" t="s">
        <v>176</v>
      </c>
      <c r="D351" t="s">
        <v>129</v>
      </c>
      <c r="E351" t="s">
        <v>47</v>
      </c>
      <c r="F351" t="s">
        <v>2</v>
      </c>
      <c r="G351">
        <v>1</v>
      </c>
      <c r="H351">
        <v>650000</v>
      </c>
      <c r="I351">
        <v>0</v>
      </c>
      <c r="J351">
        <v>650000</v>
      </c>
      <c r="K351">
        <v>143468.91</v>
      </c>
      <c r="L351" t="s">
        <v>58</v>
      </c>
      <c r="M351" t="str">
        <f t="shared" si="5"/>
        <v>Dec</v>
      </c>
    </row>
    <row r="352" spans="1:13">
      <c r="A352" t="s">
        <v>776</v>
      </c>
      <c r="B352" t="s">
        <v>433</v>
      </c>
      <c r="C352" t="s">
        <v>777</v>
      </c>
      <c r="D352" t="s">
        <v>56</v>
      </c>
      <c r="E352" t="s">
        <v>57</v>
      </c>
      <c r="F352" t="s">
        <v>4</v>
      </c>
      <c r="G352">
        <v>5</v>
      </c>
      <c r="H352">
        <v>210000</v>
      </c>
      <c r="I352">
        <v>0</v>
      </c>
      <c r="J352">
        <v>1050000</v>
      </c>
      <c r="K352">
        <v>378664.43</v>
      </c>
      <c r="L352" t="s">
        <v>58</v>
      </c>
      <c r="M352" t="str">
        <f t="shared" si="5"/>
        <v>Mar</v>
      </c>
    </row>
    <row r="353" spans="1:13">
      <c r="A353" t="s">
        <v>778</v>
      </c>
      <c r="B353" t="s">
        <v>779</v>
      </c>
      <c r="C353" t="s">
        <v>135</v>
      </c>
      <c r="D353" t="s">
        <v>62</v>
      </c>
      <c r="E353" t="s">
        <v>47</v>
      </c>
      <c r="F353" t="s">
        <v>4</v>
      </c>
      <c r="G353">
        <v>2</v>
      </c>
      <c r="H353">
        <v>180000</v>
      </c>
      <c r="I353">
        <v>0</v>
      </c>
      <c r="J353">
        <v>360000</v>
      </c>
      <c r="K353">
        <v>99745.45</v>
      </c>
      <c r="L353" t="s">
        <v>48</v>
      </c>
      <c r="M353" t="str">
        <f t="shared" si="5"/>
        <v>Nov</v>
      </c>
    </row>
    <row r="354" spans="1:13">
      <c r="A354" t="s">
        <v>780</v>
      </c>
      <c r="B354" t="s">
        <v>54</v>
      </c>
      <c r="C354" t="s">
        <v>781</v>
      </c>
      <c r="D354" t="s">
        <v>52</v>
      </c>
      <c r="E354" t="s">
        <v>47</v>
      </c>
      <c r="F354" t="s">
        <v>2</v>
      </c>
      <c r="G354">
        <v>4</v>
      </c>
      <c r="H354">
        <v>55000</v>
      </c>
      <c r="I354">
        <v>0.15</v>
      </c>
      <c r="J354">
        <v>187000</v>
      </c>
      <c r="K354">
        <v>40484.559999999998</v>
      </c>
      <c r="L354" t="s">
        <v>58</v>
      </c>
      <c r="M354" t="str">
        <f t="shared" si="5"/>
        <v>Apr</v>
      </c>
    </row>
    <row r="355" spans="1:13">
      <c r="A355" t="s">
        <v>782</v>
      </c>
      <c r="B355" t="s">
        <v>783</v>
      </c>
      <c r="C355" t="s">
        <v>287</v>
      </c>
      <c r="D355" t="s">
        <v>75</v>
      </c>
      <c r="E355" t="s">
        <v>57</v>
      </c>
      <c r="F355" t="s">
        <v>2</v>
      </c>
      <c r="G355">
        <v>1</v>
      </c>
      <c r="H355">
        <v>35000</v>
      </c>
      <c r="I355">
        <v>0.15</v>
      </c>
      <c r="J355">
        <v>29750</v>
      </c>
      <c r="K355">
        <v>9538.44</v>
      </c>
      <c r="L355" t="s">
        <v>91</v>
      </c>
      <c r="M355" t="str">
        <f t="shared" si="5"/>
        <v>Dec</v>
      </c>
    </row>
    <row r="356" spans="1:13">
      <c r="A356" t="s">
        <v>784</v>
      </c>
      <c r="B356" t="s">
        <v>785</v>
      </c>
      <c r="C356" t="s">
        <v>301</v>
      </c>
      <c r="D356" t="s">
        <v>85</v>
      </c>
      <c r="E356" t="s">
        <v>86</v>
      </c>
      <c r="F356" t="s">
        <v>3</v>
      </c>
      <c r="G356">
        <v>4</v>
      </c>
      <c r="H356">
        <v>12000</v>
      </c>
      <c r="I356">
        <v>0</v>
      </c>
      <c r="J356">
        <v>48000</v>
      </c>
      <c r="K356">
        <v>18199.900000000001</v>
      </c>
      <c r="L356" t="s">
        <v>91</v>
      </c>
      <c r="M356" t="str">
        <f t="shared" si="5"/>
        <v>Apr</v>
      </c>
    </row>
    <row r="357" spans="1:13">
      <c r="A357" t="s">
        <v>786</v>
      </c>
      <c r="B357" t="s">
        <v>571</v>
      </c>
      <c r="C357" t="s">
        <v>170</v>
      </c>
      <c r="D357" t="s">
        <v>52</v>
      </c>
      <c r="E357" t="s">
        <v>47</v>
      </c>
      <c r="F357" t="s">
        <v>6</v>
      </c>
      <c r="G357">
        <v>5</v>
      </c>
      <c r="H357">
        <v>55000</v>
      </c>
      <c r="I357">
        <v>0.1</v>
      </c>
      <c r="J357">
        <v>247500</v>
      </c>
      <c r="K357">
        <v>52664.9</v>
      </c>
      <c r="L357" t="s">
        <v>71</v>
      </c>
      <c r="M357" t="str">
        <f t="shared" si="5"/>
        <v>Jul</v>
      </c>
    </row>
    <row r="358" spans="1:13">
      <c r="A358" t="s">
        <v>787</v>
      </c>
      <c r="B358" t="s">
        <v>633</v>
      </c>
      <c r="C358" t="s">
        <v>788</v>
      </c>
      <c r="D358" t="s">
        <v>52</v>
      </c>
      <c r="E358" t="s">
        <v>47</v>
      </c>
      <c r="F358" t="s">
        <v>6</v>
      </c>
      <c r="G358">
        <v>3</v>
      </c>
      <c r="H358">
        <v>55000</v>
      </c>
      <c r="I358">
        <v>0.15</v>
      </c>
      <c r="J358">
        <v>140250</v>
      </c>
      <c r="K358">
        <v>23208</v>
      </c>
      <c r="L358" t="s">
        <v>48</v>
      </c>
      <c r="M358" t="str">
        <f t="shared" si="5"/>
        <v>Mar</v>
      </c>
    </row>
    <row r="359" spans="1:13">
      <c r="A359" t="s">
        <v>789</v>
      </c>
      <c r="B359" t="s">
        <v>790</v>
      </c>
      <c r="C359" t="s">
        <v>599</v>
      </c>
      <c r="D359" t="s">
        <v>118</v>
      </c>
      <c r="E359" t="s">
        <v>57</v>
      </c>
      <c r="F359" t="s">
        <v>3</v>
      </c>
      <c r="G359">
        <v>1</v>
      </c>
      <c r="H359">
        <v>120000</v>
      </c>
      <c r="I359">
        <v>0</v>
      </c>
      <c r="J359">
        <v>120000</v>
      </c>
      <c r="K359">
        <v>41904.879999999997</v>
      </c>
      <c r="L359" t="s">
        <v>71</v>
      </c>
      <c r="M359" t="str">
        <f t="shared" si="5"/>
        <v>Jun</v>
      </c>
    </row>
    <row r="360" spans="1:13">
      <c r="A360" t="s">
        <v>791</v>
      </c>
      <c r="B360" t="s">
        <v>324</v>
      </c>
      <c r="C360" t="s">
        <v>792</v>
      </c>
      <c r="D360" t="s">
        <v>62</v>
      </c>
      <c r="E360" t="s">
        <v>47</v>
      </c>
      <c r="F360" t="s">
        <v>4</v>
      </c>
      <c r="G360">
        <v>2</v>
      </c>
      <c r="H360">
        <v>180000</v>
      </c>
      <c r="I360">
        <v>0.15</v>
      </c>
      <c r="J360">
        <v>306000</v>
      </c>
      <c r="K360">
        <v>70703.39</v>
      </c>
      <c r="L360" t="s">
        <v>58</v>
      </c>
      <c r="M360" t="str">
        <f t="shared" si="5"/>
        <v>Nov</v>
      </c>
    </row>
    <row r="361" spans="1:13">
      <c r="A361" t="s">
        <v>793</v>
      </c>
      <c r="B361" t="s">
        <v>275</v>
      </c>
      <c r="C361" t="s">
        <v>216</v>
      </c>
      <c r="D361" t="s">
        <v>56</v>
      </c>
      <c r="E361" t="s">
        <v>57</v>
      </c>
      <c r="F361" t="s">
        <v>4</v>
      </c>
      <c r="G361">
        <v>4</v>
      </c>
      <c r="H361">
        <v>210000</v>
      </c>
      <c r="I361">
        <v>0.05</v>
      </c>
      <c r="J361">
        <v>798000</v>
      </c>
      <c r="K361">
        <v>304180.75</v>
      </c>
      <c r="L361" t="s">
        <v>48</v>
      </c>
      <c r="M361" t="str">
        <f t="shared" si="5"/>
        <v>Mar</v>
      </c>
    </row>
    <row r="362" spans="1:13">
      <c r="A362" t="s">
        <v>794</v>
      </c>
      <c r="B362" t="s">
        <v>396</v>
      </c>
      <c r="C362" t="s">
        <v>234</v>
      </c>
      <c r="D362" t="s">
        <v>85</v>
      </c>
      <c r="E362" t="s">
        <v>86</v>
      </c>
      <c r="F362" t="s">
        <v>3</v>
      </c>
      <c r="G362">
        <v>4</v>
      </c>
      <c r="H362">
        <v>12000</v>
      </c>
      <c r="I362">
        <v>0</v>
      </c>
      <c r="J362">
        <v>48000</v>
      </c>
      <c r="K362">
        <v>19071.13</v>
      </c>
      <c r="L362" t="s">
        <v>71</v>
      </c>
      <c r="M362" t="str">
        <f t="shared" si="5"/>
        <v>Jan</v>
      </c>
    </row>
    <row r="363" spans="1:13">
      <c r="A363" t="s">
        <v>795</v>
      </c>
      <c r="B363" t="s">
        <v>796</v>
      </c>
      <c r="C363" t="s">
        <v>344</v>
      </c>
      <c r="D363" t="s">
        <v>62</v>
      </c>
      <c r="E363" t="s">
        <v>47</v>
      </c>
      <c r="F363" t="s">
        <v>4</v>
      </c>
      <c r="G363">
        <v>4</v>
      </c>
      <c r="H363">
        <v>180000</v>
      </c>
      <c r="I363">
        <v>0.1</v>
      </c>
      <c r="J363">
        <v>648000</v>
      </c>
      <c r="K363">
        <v>113948.32</v>
      </c>
      <c r="L363" t="s">
        <v>58</v>
      </c>
      <c r="M363" t="str">
        <f t="shared" si="5"/>
        <v>Dec</v>
      </c>
    </row>
    <row r="364" spans="1:13">
      <c r="A364" t="s">
        <v>797</v>
      </c>
      <c r="B364" t="s">
        <v>798</v>
      </c>
      <c r="C364" t="s">
        <v>182</v>
      </c>
      <c r="D364" t="s">
        <v>46</v>
      </c>
      <c r="E364" t="s">
        <v>47</v>
      </c>
      <c r="F364" t="s">
        <v>2</v>
      </c>
      <c r="G364">
        <v>1</v>
      </c>
      <c r="H364">
        <v>420000</v>
      </c>
      <c r="I364">
        <v>0</v>
      </c>
      <c r="J364">
        <v>420000</v>
      </c>
      <c r="K364">
        <v>155877</v>
      </c>
      <c r="L364" t="s">
        <v>91</v>
      </c>
      <c r="M364" t="str">
        <f t="shared" si="5"/>
        <v>Oct</v>
      </c>
    </row>
    <row r="365" spans="1:13">
      <c r="A365" t="s">
        <v>799</v>
      </c>
      <c r="B365" t="s">
        <v>800</v>
      </c>
      <c r="C365" t="s">
        <v>656</v>
      </c>
      <c r="D365" t="s">
        <v>110</v>
      </c>
      <c r="E365" t="s">
        <v>47</v>
      </c>
      <c r="F365" t="s">
        <v>3</v>
      </c>
      <c r="G365">
        <v>5</v>
      </c>
      <c r="H365">
        <v>85000</v>
      </c>
      <c r="I365">
        <v>0.2</v>
      </c>
      <c r="J365">
        <v>340000</v>
      </c>
      <c r="K365">
        <v>17600.16</v>
      </c>
      <c r="L365" t="s">
        <v>48</v>
      </c>
      <c r="M365" t="str">
        <f t="shared" si="5"/>
        <v>Aug</v>
      </c>
    </row>
    <row r="366" spans="1:13">
      <c r="A366" t="s">
        <v>801</v>
      </c>
      <c r="B366" t="s">
        <v>802</v>
      </c>
      <c r="C366" t="s">
        <v>506</v>
      </c>
      <c r="D366" t="s">
        <v>52</v>
      </c>
      <c r="E366" t="s">
        <v>47</v>
      </c>
      <c r="F366" t="s">
        <v>3</v>
      </c>
      <c r="G366">
        <v>3</v>
      </c>
      <c r="H366">
        <v>55000</v>
      </c>
      <c r="I366">
        <v>0.15</v>
      </c>
      <c r="J366">
        <v>140250</v>
      </c>
      <c r="K366">
        <v>12822.75</v>
      </c>
      <c r="L366" t="s">
        <v>48</v>
      </c>
      <c r="M366" t="str">
        <f t="shared" si="5"/>
        <v>Feb</v>
      </c>
    </row>
    <row r="367" spans="1:13">
      <c r="A367" t="s">
        <v>803</v>
      </c>
      <c r="B367" t="s">
        <v>804</v>
      </c>
      <c r="C367" t="s">
        <v>89</v>
      </c>
      <c r="D367" t="s">
        <v>90</v>
      </c>
      <c r="E367" t="s">
        <v>86</v>
      </c>
      <c r="F367" t="s">
        <v>6</v>
      </c>
      <c r="G367">
        <v>2</v>
      </c>
      <c r="H367">
        <v>45000</v>
      </c>
      <c r="I367">
        <v>0.1</v>
      </c>
      <c r="J367">
        <v>81000</v>
      </c>
      <c r="K367">
        <v>29011.279999999999</v>
      </c>
      <c r="L367" t="s">
        <v>48</v>
      </c>
      <c r="M367" t="str">
        <f t="shared" si="5"/>
        <v>Oct</v>
      </c>
    </row>
    <row r="368" spans="1:13">
      <c r="A368" t="s">
        <v>805</v>
      </c>
      <c r="B368" t="s">
        <v>806</v>
      </c>
      <c r="C368" t="s">
        <v>614</v>
      </c>
      <c r="D368" t="s">
        <v>90</v>
      </c>
      <c r="E368" t="s">
        <v>86</v>
      </c>
      <c r="F368" t="s">
        <v>2</v>
      </c>
      <c r="G368">
        <v>3</v>
      </c>
      <c r="H368">
        <v>45000</v>
      </c>
      <c r="I368">
        <v>0</v>
      </c>
      <c r="J368">
        <v>135000</v>
      </c>
      <c r="K368">
        <v>44745.9</v>
      </c>
      <c r="L368" t="s">
        <v>58</v>
      </c>
      <c r="M368" t="str">
        <f t="shared" si="5"/>
        <v>May</v>
      </c>
    </row>
    <row r="369" spans="1:13">
      <c r="A369" t="s">
        <v>807</v>
      </c>
      <c r="B369" t="s">
        <v>808</v>
      </c>
      <c r="C369" t="s">
        <v>777</v>
      </c>
      <c r="D369" t="s">
        <v>52</v>
      </c>
      <c r="E369" t="s">
        <v>47</v>
      </c>
      <c r="F369" t="s">
        <v>2</v>
      </c>
      <c r="G369">
        <v>3</v>
      </c>
      <c r="H369">
        <v>55000</v>
      </c>
      <c r="I369">
        <v>0.2</v>
      </c>
      <c r="J369">
        <v>132000</v>
      </c>
      <c r="K369">
        <v>14062.84</v>
      </c>
      <c r="L369" t="s">
        <v>58</v>
      </c>
      <c r="M369" t="str">
        <f t="shared" si="5"/>
        <v>Dec</v>
      </c>
    </row>
    <row r="370" spans="1:13">
      <c r="A370" t="s">
        <v>809</v>
      </c>
      <c r="B370" t="s">
        <v>810</v>
      </c>
      <c r="C370" t="s">
        <v>55</v>
      </c>
      <c r="D370" t="s">
        <v>118</v>
      </c>
      <c r="E370" t="s">
        <v>57</v>
      </c>
      <c r="F370" t="s">
        <v>3</v>
      </c>
      <c r="G370">
        <v>1</v>
      </c>
      <c r="H370">
        <v>120000</v>
      </c>
      <c r="I370">
        <v>0.15</v>
      </c>
      <c r="J370">
        <v>102000</v>
      </c>
      <c r="K370">
        <v>24633.58</v>
      </c>
      <c r="L370" t="s">
        <v>58</v>
      </c>
      <c r="M370" t="str">
        <f t="shared" si="5"/>
        <v>Apr</v>
      </c>
    </row>
    <row r="371" spans="1:13">
      <c r="A371" t="s">
        <v>811</v>
      </c>
      <c r="B371" t="s">
        <v>783</v>
      </c>
      <c r="C371" t="s">
        <v>537</v>
      </c>
      <c r="D371" t="s">
        <v>85</v>
      </c>
      <c r="E371" t="s">
        <v>86</v>
      </c>
      <c r="F371" t="s">
        <v>5</v>
      </c>
      <c r="G371">
        <v>3</v>
      </c>
      <c r="H371">
        <v>12000</v>
      </c>
      <c r="I371">
        <v>0.05</v>
      </c>
      <c r="J371">
        <v>34200</v>
      </c>
      <c r="K371">
        <v>8833.01</v>
      </c>
      <c r="L371" t="s">
        <v>58</v>
      </c>
      <c r="M371" t="str">
        <f t="shared" si="5"/>
        <v>Dec</v>
      </c>
    </row>
    <row r="372" spans="1:13">
      <c r="A372" t="s">
        <v>812</v>
      </c>
      <c r="B372" t="s">
        <v>454</v>
      </c>
      <c r="C372" t="s">
        <v>164</v>
      </c>
      <c r="D372" t="s">
        <v>62</v>
      </c>
      <c r="E372" t="s">
        <v>47</v>
      </c>
      <c r="F372" t="s">
        <v>2</v>
      </c>
      <c r="G372">
        <v>3</v>
      </c>
      <c r="H372">
        <v>180000</v>
      </c>
      <c r="I372">
        <v>0.2</v>
      </c>
      <c r="J372">
        <v>432000</v>
      </c>
      <c r="K372">
        <v>116499.71</v>
      </c>
      <c r="L372" t="s">
        <v>58</v>
      </c>
      <c r="M372" t="str">
        <f t="shared" si="5"/>
        <v>Jan</v>
      </c>
    </row>
    <row r="373" spans="1:13">
      <c r="A373" t="s">
        <v>813</v>
      </c>
      <c r="B373" t="s">
        <v>125</v>
      </c>
      <c r="C373" t="s">
        <v>814</v>
      </c>
      <c r="D373" t="s">
        <v>85</v>
      </c>
      <c r="E373" t="s">
        <v>86</v>
      </c>
      <c r="F373" t="s">
        <v>4</v>
      </c>
      <c r="G373">
        <v>4</v>
      </c>
      <c r="H373">
        <v>12000</v>
      </c>
      <c r="I373">
        <v>0.1</v>
      </c>
      <c r="J373">
        <v>43200</v>
      </c>
      <c r="K373">
        <v>14957.46</v>
      </c>
      <c r="L373" t="s">
        <v>71</v>
      </c>
      <c r="M373" t="str">
        <f t="shared" si="5"/>
        <v>May</v>
      </c>
    </row>
    <row r="374" spans="1:13">
      <c r="A374" t="s">
        <v>815</v>
      </c>
      <c r="B374" t="s">
        <v>186</v>
      </c>
      <c r="C374" t="s">
        <v>55</v>
      </c>
      <c r="D374" t="s">
        <v>90</v>
      </c>
      <c r="E374" t="s">
        <v>86</v>
      </c>
      <c r="F374" t="s">
        <v>6</v>
      </c>
      <c r="G374">
        <v>1</v>
      </c>
      <c r="H374">
        <v>45000</v>
      </c>
      <c r="I374">
        <v>0.1</v>
      </c>
      <c r="J374">
        <v>40500</v>
      </c>
      <c r="K374">
        <v>9485.2999999999993</v>
      </c>
      <c r="L374" t="s">
        <v>71</v>
      </c>
      <c r="M374" t="str">
        <f t="shared" si="5"/>
        <v>Feb</v>
      </c>
    </row>
    <row r="375" spans="1:13">
      <c r="A375" t="s">
        <v>816</v>
      </c>
      <c r="B375" t="s">
        <v>265</v>
      </c>
      <c r="C375" t="s">
        <v>817</v>
      </c>
      <c r="D375" t="s">
        <v>90</v>
      </c>
      <c r="E375" t="s">
        <v>86</v>
      </c>
      <c r="F375" t="s">
        <v>4</v>
      </c>
      <c r="G375">
        <v>5</v>
      </c>
      <c r="H375">
        <v>45000</v>
      </c>
      <c r="I375">
        <v>0</v>
      </c>
      <c r="J375">
        <v>225000</v>
      </c>
      <c r="K375">
        <v>48463.85</v>
      </c>
      <c r="L375" t="s">
        <v>91</v>
      </c>
      <c r="M375" t="str">
        <f t="shared" si="5"/>
        <v>Jun</v>
      </c>
    </row>
    <row r="376" spans="1:13">
      <c r="A376" t="s">
        <v>818</v>
      </c>
      <c r="B376" t="s">
        <v>819</v>
      </c>
      <c r="C376" t="s">
        <v>820</v>
      </c>
      <c r="D376" t="s">
        <v>46</v>
      </c>
      <c r="E376" t="s">
        <v>47</v>
      </c>
      <c r="F376" t="s">
        <v>4</v>
      </c>
      <c r="G376">
        <v>4</v>
      </c>
      <c r="H376">
        <v>420000</v>
      </c>
      <c r="I376">
        <v>0</v>
      </c>
      <c r="J376">
        <v>1680000</v>
      </c>
      <c r="K376">
        <v>316856.88</v>
      </c>
      <c r="L376" t="s">
        <v>91</v>
      </c>
      <c r="M376" t="str">
        <f t="shared" si="5"/>
        <v>Oct</v>
      </c>
    </row>
    <row r="377" spans="1:13">
      <c r="A377" t="s">
        <v>821</v>
      </c>
      <c r="B377" t="s">
        <v>172</v>
      </c>
      <c r="C377" t="s">
        <v>167</v>
      </c>
      <c r="D377" t="s">
        <v>85</v>
      </c>
      <c r="E377" t="s">
        <v>86</v>
      </c>
      <c r="F377" t="s">
        <v>4</v>
      </c>
      <c r="G377">
        <v>3</v>
      </c>
      <c r="H377">
        <v>12000</v>
      </c>
      <c r="I377">
        <v>0.15</v>
      </c>
      <c r="J377">
        <v>30600</v>
      </c>
      <c r="K377">
        <v>5182.49</v>
      </c>
      <c r="L377" t="s">
        <v>91</v>
      </c>
      <c r="M377" t="str">
        <f t="shared" si="5"/>
        <v>May</v>
      </c>
    </row>
    <row r="378" spans="1:13">
      <c r="A378" t="s">
        <v>822</v>
      </c>
      <c r="B378" t="s">
        <v>70</v>
      </c>
      <c r="C378" t="s">
        <v>482</v>
      </c>
      <c r="D378" t="s">
        <v>129</v>
      </c>
      <c r="E378" t="s">
        <v>47</v>
      </c>
      <c r="F378" t="s">
        <v>5</v>
      </c>
      <c r="G378">
        <v>1</v>
      </c>
      <c r="H378">
        <v>650000</v>
      </c>
      <c r="I378">
        <v>0.2</v>
      </c>
      <c r="J378">
        <v>520000</v>
      </c>
      <c r="K378">
        <v>24927.35</v>
      </c>
      <c r="L378" t="s">
        <v>48</v>
      </c>
      <c r="M378" t="str">
        <f t="shared" si="5"/>
        <v>Jan</v>
      </c>
    </row>
    <row r="379" spans="1:13">
      <c r="A379" t="s">
        <v>823</v>
      </c>
      <c r="B379" t="s">
        <v>523</v>
      </c>
      <c r="C379" t="s">
        <v>777</v>
      </c>
      <c r="D379" t="s">
        <v>110</v>
      </c>
      <c r="E379" t="s">
        <v>47</v>
      </c>
      <c r="F379" t="s">
        <v>2</v>
      </c>
      <c r="G379">
        <v>4</v>
      </c>
      <c r="H379">
        <v>85000</v>
      </c>
      <c r="I379">
        <v>0</v>
      </c>
      <c r="J379">
        <v>340000</v>
      </c>
      <c r="K379">
        <v>61949.25</v>
      </c>
      <c r="L379" t="s">
        <v>58</v>
      </c>
      <c r="M379" t="str">
        <f t="shared" si="5"/>
        <v>Aug</v>
      </c>
    </row>
    <row r="380" spans="1:13">
      <c r="A380" t="s">
        <v>824</v>
      </c>
      <c r="B380" t="s">
        <v>198</v>
      </c>
      <c r="C380" t="s">
        <v>589</v>
      </c>
      <c r="D380" t="s">
        <v>75</v>
      </c>
      <c r="E380" t="s">
        <v>57</v>
      </c>
      <c r="F380" t="s">
        <v>5</v>
      </c>
      <c r="G380">
        <v>3</v>
      </c>
      <c r="H380">
        <v>35000</v>
      </c>
      <c r="I380">
        <v>0</v>
      </c>
      <c r="J380">
        <v>105000</v>
      </c>
      <c r="K380">
        <v>28692.43</v>
      </c>
      <c r="L380" t="s">
        <v>91</v>
      </c>
      <c r="M380" t="str">
        <f t="shared" si="5"/>
        <v>Mar</v>
      </c>
    </row>
    <row r="381" spans="1:13">
      <c r="A381" t="s">
        <v>825</v>
      </c>
      <c r="B381" t="s">
        <v>181</v>
      </c>
      <c r="C381" t="s">
        <v>51</v>
      </c>
      <c r="D381" t="s">
        <v>110</v>
      </c>
      <c r="E381" t="s">
        <v>47</v>
      </c>
      <c r="F381" t="s">
        <v>4</v>
      </c>
      <c r="G381">
        <v>4</v>
      </c>
      <c r="H381">
        <v>85000</v>
      </c>
      <c r="I381">
        <v>0.2</v>
      </c>
      <c r="J381">
        <v>272000</v>
      </c>
      <c r="K381">
        <v>56954.25</v>
      </c>
      <c r="L381" t="s">
        <v>48</v>
      </c>
      <c r="M381" t="str">
        <f t="shared" si="5"/>
        <v>Jan</v>
      </c>
    </row>
    <row r="382" spans="1:13">
      <c r="A382" t="s">
        <v>826</v>
      </c>
      <c r="B382" t="s">
        <v>827</v>
      </c>
      <c r="C382" t="s">
        <v>335</v>
      </c>
      <c r="D382" t="s">
        <v>46</v>
      </c>
      <c r="E382" t="s">
        <v>47</v>
      </c>
      <c r="F382" t="s">
        <v>3</v>
      </c>
      <c r="G382">
        <v>2</v>
      </c>
      <c r="H382">
        <v>420000</v>
      </c>
      <c r="I382">
        <v>0.1</v>
      </c>
      <c r="J382">
        <v>756000</v>
      </c>
      <c r="K382">
        <v>276323.5</v>
      </c>
      <c r="L382" t="s">
        <v>71</v>
      </c>
      <c r="M382" t="str">
        <f t="shared" si="5"/>
        <v>Jan</v>
      </c>
    </row>
    <row r="383" spans="1:13">
      <c r="A383" t="s">
        <v>828</v>
      </c>
      <c r="B383" t="s">
        <v>396</v>
      </c>
      <c r="C383" t="s">
        <v>97</v>
      </c>
      <c r="D383" t="s">
        <v>129</v>
      </c>
      <c r="E383" t="s">
        <v>47</v>
      </c>
      <c r="F383" t="s">
        <v>2</v>
      </c>
      <c r="G383">
        <v>3</v>
      </c>
      <c r="H383">
        <v>650000</v>
      </c>
      <c r="I383">
        <v>0</v>
      </c>
      <c r="J383">
        <v>1950000</v>
      </c>
      <c r="K383">
        <v>357236.44</v>
      </c>
      <c r="L383" t="s">
        <v>71</v>
      </c>
      <c r="M383" t="str">
        <f t="shared" si="5"/>
        <v>Jan</v>
      </c>
    </row>
    <row r="384" spans="1:13">
      <c r="A384" t="s">
        <v>829</v>
      </c>
      <c r="B384" t="s">
        <v>399</v>
      </c>
      <c r="C384" t="s">
        <v>45</v>
      </c>
      <c r="D384" t="s">
        <v>46</v>
      </c>
      <c r="E384" t="s">
        <v>47</v>
      </c>
      <c r="F384" t="s">
        <v>5</v>
      </c>
      <c r="G384">
        <v>4</v>
      </c>
      <c r="H384">
        <v>420000</v>
      </c>
      <c r="I384">
        <v>0</v>
      </c>
      <c r="J384">
        <v>1680000</v>
      </c>
      <c r="K384">
        <v>424525.73</v>
      </c>
      <c r="L384" t="s">
        <v>91</v>
      </c>
      <c r="M384" t="str">
        <f t="shared" si="5"/>
        <v>Apr</v>
      </c>
    </row>
    <row r="385" spans="1:13">
      <c r="A385" t="s">
        <v>830</v>
      </c>
      <c r="B385" t="s">
        <v>175</v>
      </c>
      <c r="C385" t="s">
        <v>788</v>
      </c>
      <c r="D385" t="s">
        <v>85</v>
      </c>
      <c r="E385" t="s">
        <v>86</v>
      </c>
      <c r="F385" t="s">
        <v>2</v>
      </c>
      <c r="G385">
        <v>2</v>
      </c>
      <c r="H385">
        <v>12000</v>
      </c>
      <c r="I385">
        <v>0.1</v>
      </c>
      <c r="J385">
        <v>21600</v>
      </c>
      <c r="K385">
        <v>3387.98</v>
      </c>
      <c r="L385" t="s">
        <v>48</v>
      </c>
      <c r="M385" t="str">
        <f t="shared" si="5"/>
        <v>Jun</v>
      </c>
    </row>
    <row r="386" spans="1:13">
      <c r="A386" t="s">
        <v>831</v>
      </c>
      <c r="B386" t="s">
        <v>493</v>
      </c>
      <c r="C386" t="s">
        <v>832</v>
      </c>
      <c r="D386" t="s">
        <v>56</v>
      </c>
      <c r="E386" t="s">
        <v>57</v>
      </c>
      <c r="F386" t="s">
        <v>6</v>
      </c>
      <c r="G386">
        <v>1</v>
      </c>
      <c r="H386">
        <v>210000</v>
      </c>
      <c r="I386">
        <v>0.15</v>
      </c>
      <c r="J386">
        <v>178500</v>
      </c>
      <c r="K386">
        <v>26143.85</v>
      </c>
      <c r="L386" t="s">
        <v>58</v>
      </c>
      <c r="M386" t="str">
        <f t="shared" si="5"/>
        <v>Oct</v>
      </c>
    </row>
    <row r="387" spans="1:13">
      <c r="A387" t="s">
        <v>833</v>
      </c>
      <c r="B387" t="s">
        <v>372</v>
      </c>
      <c r="C387" t="s">
        <v>273</v>
      </c>
      <c r="D387" t="s">
        <v>110</v>
      </c>
      <c r="E387" t="s">
        <v>47</v>
      </c>
      <c r="F387" t="s">
        <v>5</v>
      </c>
      <c r="G387">
        <v>5</v>
      </c>
      <c r="H387">
        <v>85000</v>
      </c>
      <c r="I387">
        <v>0.2</v>
      </c>
      <c r="J387">
        <v>340000</v>
      </c>
      <c r="K387">
        <v>55486.45</v>
      </c>
      <c r="L387" t="s">
        <v>48</v>
      </c>
      <c r="M387" t="str">
        <f t="shared" ref="M387:M450" si="6">TEXT(B387,"mmm")</f>
        <v>Jul</v>
      </c>
    </row>
    <row r="388" spans="1:13">
      <c r="A388" t="s">
        <v>834</v>
      </c>
      <c r="B388" t="s">
        <v>835</v>
      </c>
      <c r="C388" t="s">
        <v>777</v>
      </c>
      <c r="D388" t="s">
        <v>110</v>
      </c>
      <c r="E388" t="s">
        <v>47</v>
      </c>
      <c r="F388" t="s">
        <v>6</v>
      </c>
      <c r="G388">
        <v>5</v>
      </c>
      <c r="H388">
        <v>85000</v>
      </c>
      <c r="I388">
        <v>0.2</v>
      </c>
      <c r="J388">
        <v>340000</v>
      </c>
      <c r="K388">
        <v>62182.34</v>
      </c>
      <c r="L388" t="s">
        <v>58</v>
      </c>
      <c r="M388" t="str">
        <f t="shared" si="6"/>
        <v>Mar</v>
      </c>
    </row>
    <row r="389" spans="1:13">
      <c r="A389" t="s">
        <v>836</v>
      </c>
      <c r="B389" t="s">
        <v>837</v>
      </c>
      <c r="C389" t="s">
        <v>838</v>
      </c>
      <c r="D389" t="s">
        <v>118</v>
      </c>
      <c r="E389" t="s">
        <v>57</v>
      </c>
      <c r="F389" t="s">
        <v>5</v>
      </c>
      <c r="G389">
        <v>1</v>
      </c>
      <c r="H389">
        <v>120000</v>
      </c>
      <c r="I389">
        <v>0</v>
      </c>
      <c r="J389">
        <v>120000</v>
      </c>
      <c r="K389">
        <v>36069.949999999997</v>
      </c>
      <c r="L389" t="s">
        <v>91</v>
      </c>
      <c r="M389" t="str">
        <f t="shared" si="6"/>
        <v>May</v>
      </c>
    </row>
    <row r="390" spans="1:13">
      <c r="A390" t="s">
        <v>839</v>
      </c>
      <c r="B390" t="s">
        <v>840</v>
      </c>
      <c r="C390" t="s">
        <v>260</v>
      </c>
      <c r="D390" t="s">
        <v>118</v>
      </c>
      <c r="E390" t="s">
        <v>57</v>
      </c>
      <c r="F390" t="s">
        <v>6</v>
      </c>
      <c r="G390">
        <v>5</v>
      </c>
      <c r="H390">
        <v>120000</v>
      </c>
      <c r="I390">
        <v>0.15</v>
      </c>
      <c r="J390">
        <v>510000</v>
      </c>
      <c r="K390">
        <v>149439.26</v>
      </c>
      <c r="L390" t="s">
        <v>48</v>
      </c>
      <c r="M390" t="str">
        <f t="shared" si="6"/>
        <v>Sep</v>
      </c>
    </row>
    <row r="391" spans="1:13">
      <c r="A391" t="s">
        <v>841</v>
      </c>
      <c r="B391" t="s">
        <v>842</v>
      </c>
      <c r="C391" t="s">
        <v>320</v>
      </c>
      <c r="D391" t="s">
        <v>118</v>
      </c>
      <c r="E391" t="s">
        <v>57</v>
      </c>
      <c r="F391" t="s">
        <v>3</v>
      </c>
      <c r="G391">
        <v>4</v>
      </c>
      <c r="H391">
        <v>120000</v>
      </c>
      <c r="I391">
        <v>0</v>
      </c>
      <c r="J391">
        <v>480000</v>
      </c>
      <c r="K391">
        <v>184755.8</v>
      </c>
      <c r="L391" t="s">
        <v>48</v>
      </c>
      <c r="M391" t="str">
        <f t="shared" si="6"/>
        <v>Sep</v>
      </c>
    </row>
    <row r="392" spans="1:13">
      <c r="A392" t="s">
        <v>843</v>
      </c>
      <c r="B392" t="s">
        <v>636</v>
      </c>
      <c r="C392" t="s">
        <v>84</v>
      </c>
      <c r="D392" t="s">
        <v>85</v>
      </c>
      <c r="E392" t="s">
        <v>86</v>
      </c>
      <c r="F392" t="s">
        <v>4</v>
      </c>
      <c r="G392">
        <v>2</v>
      </c>
      <c r="H392">
        <v>12000</v>
      </c>
      <c r="I392">
        <v>0.1</v>
      </c>
      <c r="J392">
        <v>21600</v>
      </c>
      <c r="K392">
        <v>2821.93</v>
      </c>
      <c r="L392" t="s">
        <v>91</v>
      </c>
      <c r="M392" t="str">
        <f t="shared" si="6"/>
        <v>Jun</v>
      </c>
    </row>
    <row r="393" spans="1:13">
      <c r="A393" t="s">
        <v>844</v>
      </c>
      <c r="B393" t="s">
        <v>845</v>
      </c>
      <c r="C393" t="s">
        <v>320</v>
      </c>
      <c r="D393" t="s">
        <v>56</v>
      </c>
      <c r="E393" t="s">
        <v>57</v>
      </c>
      <c r="F393" t="s">
        <v>5</v>
      </c>
      <c r="G393">
        <v>2</v>
      </c>
      <c r="H393">
        <v>210000</v>
      </c>
      <c r="I393">
        <v>0.1</v>
      </c>
      <c r="J393">
        <v>378000</v>
      </c>
      <c r="K393">
        <v>38765.03</v>
      </c>
      <c r="L393" t="s">
        <v>48</v>
      </c>
      <c r="M393" t="str">
        <f t="shared" si="6"/>
        <v>Dec</v>
      </c>
    </row>
    <row r="394" spans="1:13">
      <c r="A394" t="s">
        <v>846</v>
      </c>
      <c r="B394" t="s">
        <v>806</v>
      </c>
      <c r="C394" t="s">
        <v>639</v>
      </c>
      <c r="D394" t="s">
        <v>129</v>
      </c>
      <c r="E394" t="s">
        <v>47</v>
      </c>
      <c r="F394" t="s">
        <v>3</v>
      </c>
      <c r="G394">
        <v>2</v>
      </c>
      <c r="H394">
        <v>650000</v>
      </c>
      <c r="I394">
        <v>0</v>
      </c>
      <c r="J394">
        <v>1300000</v>
      </c>
      <c r="K394">
        <v>261174.67</v>
      </c>
      <c r="L394" t="s">
        <v>91</v>
      </c>
      <c r="M394" t="str">
        <f t="shared" si="6"/>
        <v>May</v>
      </c>
    </row>
    <row r="395" spans="1:13">
      <c r="A395" t="s">
        <v>847</v>
      </c>
      <c r="B395" t="s">
        <v>233</v>
      </c>
      <c r="C395" t="s">
        <v>287</v>
      </c>
      <c r="D395" t="s">
        <v>56</v>
      </c>
      <c r="E395" t="s">
        <v>57</v>
      </c>
      <c r="F395" t="s">
        <v>3</v>
      </c>
      <c r="G395">
        <v>4</v>
      </c>
      <c r="H395">
        <v>210000</v>
      </c>
      <c r="I395">
        <v>0.2</v>
      </c>
      <c r="J395">
        <v>672000</v>
      </c>
      <c r="K395">
        <v>118763.48</v>
      </c>
      <c r="L395" t="s">
        <v>58</v>
      </c>
      <c r="M395" t="str">
        <f t="shared" si="6"/>
        <v>Aug</v>
      </c>
    </row>
    <row r="396" spans="1:13">
      <c r="A396" t="s">
        <v>848</v>
      </c>
      <c r="B396" t="s">
        <v>728</v>
      </c>
      <c r="C396" t="s">
        <v>179</v>
      </c>
      <c r="D396" t="s">
        <v>75</v>
      </c>
      <c r="E396" t="s">
        <v>57</v>
      </c>
      <c r="F396" t="s">
        <v>2</v>
      </c>
      <c r="G396">
        <v>3</v>
      </c>
      <c r="H396">
        <v>35000</v>
      </c>
      <c r="I396">
        <v>0</v>
      </c>
      <c r="J396">
        <v>105000</v>
      </c>
      <c r="K396">
        <v>32754.51</v>
      </c>
      <c r="L396" t="s">
        <v>91</v>
      </c>
      <c r="M396" t="str">
        <f t="shared" si="6"/>
        <v>Feb</v>
      </c>
    </row>
    <row r="397" spans="1:13">
      <c r="A397" t="s">
        <v>849</v>
      </c>
      <c r="B397" t="s">
        <v>644</v>
      </c>
      <c r="C397" t="s">
        <v>535</v>
      </c>
      <c r="D397" t="s">
        <v>62</v>
      </c>
      <c r="E397" t="s">
        <v>47</v>
      </c>
      <c r="F397" t="s">
        <v>5</v>
      </c>
      <c r="G397">
        <v>1</v>
      </c>
      <c r="H397">
        <v>180000</v>
      </c>
      <c r="I397">
        <v>0.05</v>
      </c>
      <c r="J397">
        <v>171000</v>
      </c>
      <c r="K397">
        <v>38044.35</v>
      </c>
      <c r="L397" t="s">
        <v>58</v>
      </c>
      <c r="M397" t="str">
        <f t="shared" si="6"/>
        <v>Oct</v>
      </c>
    </row>
    <row r="398" spans="1:13">
      <c r="A398" t="s">
        <v>850</v>
      </c>
      <c r="B398" t="s">
        <v>210</v>
      </c>
      <c r="C398" t="s">
        <v>81</v>
      </c>
      <c r="D398" t="s">
        <v>46</v>
      </c>
      <c r="E398" t="s">
        <v>47</v>
      </c>
      <c r="F398" t="s">
        <v>6</v>
      </c>
      <c r="G398">
        <v>1</v>
      </c>
      <c r="H398">
        <v>420000</v>
      </c>
      <c r="I398">
        <v>0.1</v>
      </c>
      <c r="J398">
        <v>378000</v>
      </c>
      <c r="K398">
        <v>77565.539999999994</v>
      </c>
      <c r="L398" t="s">
        <v>58</v>
      </c>
      <c r="M398" t="str">
        <f t="shared" si="6"/>
        <v>Aug</v>
      </c>
    </row>
    <row r="399" spans="1:13">
      <c r="A399" t="s">
        <v>851</v>
      </c>
      <c r="B399" t="s">
        <v>852</v>
      </c>
      <c r="C399" t="s">
        <v>386</v>
      </c>
      <c r="D399" t="s">
        <v>46</v>
      </c>
      <c r="E399" t="s">
        <v>47</v>
      </c>
      <c r="F399" t="s">
        <v>6</v>
      </c>
      <c r="G399">
        <v>2</v>
      </c>
      <c r="H399">
        <v>420000</v>
      </c>
      <c r="I399">
        <v>0.2</v>
      </c>
      <c r="J399">
        <v>672000</v>
      </c>
      <c r="K399">
        <v>207425.68</v>
      </c>
      <c r="L399" t="s">
        <v>91</v>
      </c>
      <c r="M399" t="str">
        <f t="shared" si="6"/>
        <v>Jan</v>
      </c>
    </row>
    <row r="400" spans="1:13">
      <c r="A400" t="s">
        <v>853</v>
      </c>
      <c r="B400" t="s">
        <v>854</v>
      </c>
      <c r="C400" t="s">
        <v>814</v>
      </c>
      <c r="D400" t="s">
        <v>110</v>
      </c>
      <c r="E400" t="s">
        <v>47</v>
      </c>
      <c r="F400" t="s">
        <v>5</v>
      </c>
      <c r="G400">
        <v>2</v>
      </c>
      <c r="H400">
        <v>85000</v>
      </c>
      <c r="I400">
        <v>0.2</v>
      </c>
      <c r="J400">
        <v>136000</v>
      </c>
      <c r="K400">
        <v>6646.41</v>
      </c>
      <c r="L400" t="s">
        <v>48</v>
      </c>
      <c r="M400" t="str">
        <f t="shared" si="6"/>
        <v>Jul</v>
      </c>
    </row>
    <row r="401" spans="1:13">
      <c r="A401" t="s">
        <v>855</v>
      </c>
      <c r="B401" t="s">
        <v>93</v>
      </c>
      <c r="C401" t="s">
        <v>252</v>
      </c>
      <c r="D401" t="s">
        <v>85</v>
      </c>
      <c r="E401" t="s">
        <v>86</v>
      </c>
      <c r="F401" t="s">
        <v>5</v>
      </c>
      <c r="G401">
        <v>3</v>
      </c>
      <c r="H401">
        <v>12000</v>
      </c>
      <c r="I401">
        <v>0.15</v>
      </c>
      <c r="J401">
        <v>30600</v>
      </c>
      <c r="K401">
        <v>10179.16</v>
      </c>
      <c r="L401" t="s">
        <v>71</v>
      </c>
      <c r="M401" t="str">
        <f t="shared" si="6"/>
        <v>Aug</v>
      </c>
    </row>
    <row r="402" spans="1:13">
      <c r="A402" t="s">
        <v>856</v>
      </c>
      <c r="B402" t="s">
        <v>489</v>
      </c>
      <c r="C402" t="s">
        <v>84</v>
      </c>
      <c r="D402" t="s">
        <v>90</v>
      </c>
      <c r="E402" t="s">
        <v>86</v>
      </c>
      <c r="F402" t="s">
        <v>2</v>
      </c>
      <c r="G402">
        <v>3</v>
      </c>
      <c r="H402">
        <v>45000</v>
      </c>
      <c r="I402">
        <v>0</v>
      </c>
      <c r="J402">
        <v>135000</v>
      </c>
      <c r="K402">
        <v>42539.22</v>
      </c>
      <c r="L402" t="s">
        <v>91</v>
      </c>
      <c r="M402" t="str">
        <f t="shared" si="6"/>
        <v>Sep</v>
      </c>
    </row>
    <row r="403" spans="1:13">
      <c r="A403" t="s">
        <v>856</v>
      </c>
      <c r="B403" t="s">
        <v>857</v>
      </c>
      <c r="C403" t="s">
        <v>276</v>
      </c>
      <c r="D403" t="s">
        <v>110</v>
      </c>
      <c r="E403" t="s">
        <v>47</v>
      </c>
      <c r="F403" t="s">
        <v>2</v>
      </c>
      <c r="G403">
        <v>1</v>
      </c>
      <c r="H403">
        <v>85000</v>
      </c>
      <c r="I403">
        <v>0.15</v>
      </c>
      <c r="J403">
        <v>72250</v>
      </c>
      <c r="K403">
        <v>10028.94</v>
      </c>
      <c r="L403" t="s">
        <v>48</v>
      </c>
      <c r="M403" t="str">
        <f t="shared" si="6"/>
        <v>May</v>
      </c>
    </row>
    <row r="404" spans="1:13">
      <c r="A404" t="s">
        <v>858</v>
      </c>
      <c r="B404" t="s">
        <v>852</v>
      </c>
      <c r="C404" t="s">
        <v>234</v>
      </c>
      <c r="D404" t="s">
        <v>129</v>
      </c>
      <c r="E404" t="s">
        <v>47</v>
      </c>
      <c r="F404" t="s">
        <v>2</v>
      </c>
      <c r="G404">
        <v>2</v>
      </c>
      <c r="H404">
        <v>650000</v>
      </c>
      <c r="I404">
        <v>0</v>
      </c>
      <c r="J404">
        <v>1300000</v>
      </c>
      <c r="K404">
        <v>419410.63</v>
      </c>
      <c r="L404" t="s">
        <v>58</v>
      </c>
      <c r="M404" t="str">
        <f t="shared" si="6"/>
        <v>Jan</v>
      </c>
    </row>
    <row r="405" spans="1:13">
      <c r="A405" t="s">
        <v>859</v>
      </c>
      <c r="B405" t="s">
        <v>305</v>
      </c>
      <c r="C405" t="s">
        <v>249</v>
      </c>
      <c r="D405" t="s">
        <v>129</v>
      </c>
      <c r="E405" t="s">
        <v>47</v>
      </c>
      <c r="F405" t="s">
        <v>6</v>
      </c>
      <c r="G405">
        <v>4</v>
      </c>
      <c r="H405">
        <v>650000</v>
      </c>
      <c r="I405">
        <v>0</v>
      </c>
      <c r="J405">
        <v>2600000</v>
      </c>
      <c r="K405">
        <v>944094.99</v>
      </c>
      <c r="L405" t="s">
        <v>91</v>
      </c>
      <c r="M405" t="str">
        <f t="shared" si="6"/>
        <v>Oct</v>
      </c>
    </row>
    <row r="406" spans="1:13">
      <c r="A406" t="s">
        <v>860</v>
      </c>
      <c r="B406" t="s">
        <v>500</v>
      </c>
      <c r="C406" t="s">
        <v>268</v>
      </c>
      <c r="D406" t="s">
        <v>46</v>
      </c>
      <c r="E406" t="s">
        <v>47</v>
      </c>
      <c r="F406" t="s">
        <v>2</v>
      </c>
      <c r="G406">
        <v>3</v>
      </c>
      <c r="H406">
        <v>420000</v>
      </c>
      <c r="I406">
        <v>0</v>
      </c>
      <c r="J406">
        <v>1260000</v>
      </c>
      <c r="K406">
        <v>396205.67</v>
      </c>
      <c r="L406" t="s">
        <v>58</v>
      </c>
      <c r="M406" t="str">
        <f t="shared" si="6"/>
        <v>Oct</v>
      </c>
    </row>
    <row r="407" spans="1:13">
      <c r="A407" t="s">
        <v>861</v>
      </c>
      <c r="B407" t="s">
        <v>70</v>
      </c>
      <c r="C407" t="s">
        <v>838</v>
      </c>
      <c r="D407" t="s">
        <v>56</v>
      </c>
      <c r="E407" t="s">
        <v>57</v>
      </c>
      <c r="F407" t="s">
        <v>6</v>
      </c>
      <c r="G407">
        <v>4</v>
      </c>
      <c r="H407">
        <v>210000</v>
      </c>
      <c r="I407">
        <v>0</v>
      </c>
      <c r="J407">
        <v>840000</v>
      </c>
      <c r="K407">
        <v>179098.39</v>
      </c>
      <c r="L407" t="s">
        <v>91</v>
      </c>
      <c r="M407" t="str">
        <f t="shared" si="6"/>
        <v>Jan</v>
      </c>
    </row>
    <row r="408" spans="1:13">
      <c r="A408" t="s">
        <v>862</v>
      </c>
      <c r="B408" t="s">
        <v>305</v>
      </c>
      <c r="C408" t="s">
        <v>689</v>
      </c>
      <c r="D408" t="s">
        <v>46</v>
      </c>
      <c r="E408" t="s">
        <v>47</v>
      </c>
      <c r="F408" t="s">
        <v>3</v>
      </c>
      <c r="G408">
        <v>4</v>
      </c>
      <c r="H408">
        <v>420000</v>
      </c>
      <c r="I408">
        <v>0</v>
      </c>
      <c r="J408">
        <v>1680000</v>
      </c>
      <c r="K408">
        <v>588658.18000000005</v>
      </c>
      <c r="L408" t="s">
        <v>91</v>
      </c>
      <c r="M408" t="str">
        <f t="shared" si="6"/>
        <v>Oct</v>
      </c>
    </row>
    <row r="409" spans="1:13">
      <c r="A409" t="s">
        <v>863</v>
      </c>
      <c r="B409" t="s">
        <v>697</v>
      </c>
      <c r="C409" t="s">
        <v>656</v>
      </c>
      <c r="D409" t="s">
        <v>52</v>
      </c>
      <c r="E409" t="s">
        <v>47</v>
      </c>
      <c r="F409" t="s">
        <v>2</v>
      </c>
      <c r="G409">
        <v>4</v>
      </c>
      <c r="H409">
        <v>55000</v>
      </c>
      <c r="I409">
        <v>0.05</v>
      </c>
      <c r="J409">
        <v>209000</v>
      </c>
      <c r="K409">
        <v>52853.56</v>
      </c>
      <c r="L409" t="s">
        <v>58</v>
      </c>
      <c r="M409" t="str">
        <f t="shared" si="6"/>
        <v>May</v>
      </c>
    </row>
    <row r="410" spans="1:13">
      <c r="A410" t="s">
        <v>864</v>
      </c>
      <c r="B410" t="s">
        <v>475</v>
      </c>
      <c r="C410" t="s">
        <v>735</v>
      </c>
      <c r="D410" t="s">
        <v>110</v>
      </c>
      <c r="E410" t="s">
        <v>47</v>
      </c>
      <c r="F410" t="s">
        <v>5</v>
      </c>
      <c r="G410">
        <v>4</v>
      </c>
      <c r="H410">
        <v>85000</v>
      </c>
      <c r="I410">
        <v>0</v>
      </c>
      <c r="J410">
        <v>340000</v>
      </c>
      <c r="K410">
        <v>131610.81</v>
      </c>
      <c r="L410" t="s">
        <v>91</v>
      </c>
      <c r="M410" t="str">
        <f t="shared" si="6"/>
        <v>Jan</v>
      </c>
    </row>
    <row r="411" spans="1:13">
      <c r="A411" t="s">
        <v>865</v>
      </c>
      <c r="B411" t="s">
        <v>458</v>
      </c>
      <c r="C411" t="s">
        <v>45</v>
      </c>
      <c r="D411" t="s">
        <v>129</v>
      </c>
      <c r="E411" t="s">
        <v>47</v>
      </c>
      <c r="F411" t="s">
        <v>2</v>
      </c>
      <c r="G411">
        <v>4</v>
      </c>
      <c r="H411">
        <v>650000</v>
      </c>
      <c r="I411">
        <v>0.2</v>
      </c>
      <c r="J411">
        <v>2080000</v>
      </c>
      <c r="K411">
        <v>139495.04000000001</v>
      </c>
      <c r="L411" t="s">
        <v>58</v>
      </c>
      <c r="M411" t="str">
        <f t="shared" si="6"/>
        <v>Dec</v>
      </c>
    </row>
    <row r="412" spans="1:13">
      <c r="A412" t="s">
        <v>866</v>
      </c>
      <c r="B412" t="s">
        <v>867</v>
      </c>
      <c r="C412" t="s">
        <v>817</v>
      </c>
      <c r="D412" t="s">
        <v>62</v>
      </c>
      <c r="E412" t="s">
        <v>47</v>
      </c>
      <c r="F412" t="s">
        <v>5</v>
      </c>
      <c r="G412">
        <v>1</v>
      </c>
      <c r="H412">
        <v>180000</v>
      </c>
      <c r="I412">
        <v>0</v>
      </c>
      <c r="J412">
        <v>180000</v>
      </c>
      <c r="K412">
        <v>46413.69</v>
      </c>
      <c r="L412" t="s">
        <v>58</v>
      </c>
      <c r="M412" t="str">
        <f t="shared" si="6"/>
        <v>Sep</v>
      </c>
    </row>
    <row r="413" spans="1:13">
      <c r="A413" t="s">
        <v>868</v>
      </c>
      <c r="B413" t="s">
        <v>748</v>
      </c>
      <c r="C413" t="s">
        <v>769</v>
      </c>
      <c r="D413" t="s">
        <v>56</v>
      </c>
      <c r="E413" t="s">
        <v>57</v>
      </c>
      <c r="F413" t="s">
        <v>3</v>
      </c>
      <c r="G413">
        <v>3</v>
      </c>
      <c r="H413">
        <v>210000</v>
      </c>
      <c r="I413">
        <v>0.1</v>
      </c>
      <c r="J413">
        <v>567000</v>
      </c>
      <c r="K413">
        <v>54728.23</v>
      </c>
      <c r="L413" t="s">
        <v>48</v>
      </c>
      <c r="M413" t="str">
        <f t="shared" si="6"/>
        <v>Jul</v>
      </c>
    </row>
    <row r="414" spans="1:13">
      <c r="A414" t="s">
        <v>869</v>
      </c>
      <c r="B414" t="s">
        <v>680</v>
      </c>
      <c r="C414" t="s">
        <v>327</v>
      </c>
      <c r="D414" t="s">
        <v>56</v>
      </c>
      <c r="E414" t="s">
        <v>57</v>
      </c>
      <c r="F414" t="s">
        <v>4</v>
      </c>
      <c r="G414">
        <v>4</v>
      </c>
      <c r="H414">
        <v>210000</v>
      </c>
      <c r="I414">
        <v>0</v>
      </c>
      <c r="J414">
        <v>840000</v>
      </c>
      <c r="K414">
        <v>243758.04</v>
      </c>
      <c r="L414" t="s">
        <v>58</v>
      </c>
      <c r="M414" t="str">
        <f t="shared" si="6"/>
        <v>Mar</v>
      </c>
    </row>
    <row r="415" spans="1:13">
      <c r="A415" t="s">
        <v>870</v>
      </c>
      <c r="B415" t="s">
        <v>539</v>
      </c>
      <c r="C415" t="s">
        <v>260</v>
      </c>
      <c r="D415" t="s">
        <v>118</v>
      </c>
      <c r="E415" t="s">
        <v>57</v>
      </c>
      <c r="F415" t="s">
        <v>6</v>
      </c>
      <c r="G415">
        <v>3</v>
      </c>
      <c r="H415">
        <v>120000</v>
      </c>
      <c r="I415">
        <v>0.05</v>
      </c>
      <c r="J415">
        <v>342000</v>
      </c>
      <c r="K415">
        <v>53988.72</v>
      </c>
      <c r="L415" t="s">
        <v>91</v>
      </c>
      <c r="M415" t="str">
        <f t="shared" si="6"/>
        <v>May</v>
      </c>
    </row>
    <row r="416" spans="1:13">
      <c r="A416" t="s">
        <v>871</v>
      </c>
      <c r="B416" t="s">
        <v>470</v>
      </c>
      <c r="C416" t="s">
        <v>788</v>
      </c>
      <c r="D416" t="s">
        <v>90</v>
      </c>
      <c r="E416" t="s">
        <v>86</v>
      </c>
      <c r="F416" t="s">
        <v>3</v>
      </c>
      <c r="G416">
        <v>2</v>
      </c>
      <c r="H416">
        <v>45000</v>
      </c>
      <c r="I416">
        <v>0</v>
      </c>
      <c r="J416">
        <v>90000</v>
      </c>
      <c r="K416">
        <v>17571.62</v>
      </c>
      <c r="L416" t="s">
        <v>48</v>
      </c>
      <c r="M416" t="str">
        <f t="shared" si="6"/>
        <v>May</v>
      </c>
    </row>
    <row r="417" spans="1:13">
      <c r="A417" t="s">
        <v>872</v>
      </c>
      <c r="B417" t="s">
        <v>484</v>
      </c>
      <c r="C417" t="s">
        <v>193</v>
      </c>
      <c r="D417" t="s">
        <v>110</v>
      </c>
      <c r="E417" t="s">
        <v>47</v>
      </c>
      <c r="F417" t="s">
        <v>5</v>
      </c>
      <c r="G417">
        <v>2</v>
      </c>
      <c r="H417">
        <v>85000</v>
      </c>
      <c r="I417">
        <v>0.1</v>
      </c>
      <c r="J417">
        <v>153000</v>
      </c>
      <c r="K417">
        <v>38108.07</v>
      </c>
      <c r="L417" t="s">
        <v>91</v>
      </c>
      <c r="M417" t="str">
        <f t="shared" si="6"/>
        <v>Feb</v>
      </c>
    </row>
    <row r="418" spans="1:13">
      <c r="A418" t="s">
        <v>873</v>
      </c>
      <c r="B418" t="s">
        <v>874</v>
      </c>
      <c r="C418" t="s">
        <v>614</v>
      </c>
      <c r="D418" t="s">
        <v>118</v>
      </c>
      <c r="E418" t="s">
        <v>57</v>
      </c>
      <c r="F418" t="s">
        <v>5</v>
      </c>
      <c r="G418">
        <v>3</v>
      </c>
      <c r="H418">
        <v>120000</v>
      </c>
      <c r="I418">
        <v>0.1</v>
      </c>
      <c r="J418">
        <v>324000</v>
      </c>
      <c r="K418">
        <v>100241.23</v>
      </c>
      <c r="L418" t="s">
        <v>58</v>
      </c>
      <c r="M418" t="str">
        <f t="shared" si="6"/>
        <v>Aug</v>
      </c>
    </row>
    <row r="419" spans="1:13">
      <c r="A419" t="s">
        <v>875</v>
      </c>
      <c r="B419" t="s">
        <v>783</v>
      </c>
      <c r="C419" t="s">
        <v>404</v>
      </c>
      <c r="D419" t="s">
        <v>75</v>
      </c>
      <c r="E419" t="s">
        <v>57</v>
      </c>
      <c r="F419" t="s">
        <v>2</v>
      </c>
      <c r="G419">
        <v>5</v>
      </c>
      <c r="H419">
        <v>35000</v>
      </c>
      <c r="I419">
        <v>0</v>
      </c>
      <c r="J419">
        <v>175000</v>
      </c>
      <c r="K419">
        <v>68590.27</v>
      </c>
      <c r="L419" t="s">
        <v>48</v>
      </c>
      <c r="M419" t="str">
        <f t="shared" si="6"/>
        <v>Dec</v>
      </c>
    </row>
    <row r="420" spans="1:13">
      <c r="A420" t="s">
        <v>876</v>
      </c>
      <c r="B420" t="s">
        <v>877</v>
      </c>
      <c r="C420" t="s">
        <v>106</v>
      </c>
      <c r="D420" t="s">
        <v>118</v>
      </c>
      <c r="E420" t="s">
        <v>57</v>
      </c>
      <c r="F420" t="s">
        <v>6</v>
      </c>
      <c r="G420">
        <v>4</v>
      </c>
      <c r="H420">
        <v>120000</v>
      </c>
      <c r="I420">
        <v>0.15</v>
      </c>
      <c r="J420">
        <v>408000</v>
      </c>
      <c r="K420">
        <v>137656</v>
      </c>
      <c r="L420" t="s">
        <v>58</v>
      </c>
      <c r="M420" t="str">
        <f t="shared" si="6"/>
        <v>Jul</v>
      </c>
    </row>
    <row r="421" spans="1:13">
      <c r="A421" t="s">
        <v>878</v>
      </c>
      <c r="B421" t="s">
        <v>481</v>
      </c>
      <c r="C421" t="s">
        <v>89</v>
      </c>
      <c r="D421" t="s">
        <v>129</v>
      </c>
      <c r="E421" t="s">
        <v>47</v>
      </c>
      <c r="F421" t="s">
        <v>5</v>
      </c>
      <c r="G421">
        <v>4</v>
      </c>
      <c r="H421">
        <v>650000</v>
      </c>
      <c r="I421">
        <v>0.15</v>
      </c>
      <c r="J421">
        <v>2210000</v>
      </c>
      <c r="K421">
        <v>254848.93</v>
      </c>
      <c r="L421" t="s">
        <v>71</v>
      </c>
      <c r="M421" t="str">
        <f t="shared" si="6"/>
        <v>Jul</v>
      </c>
    </row>
    <row r="422" spans="1:13">
      <c r="A422" t="s">
        <v>879</v>
      </c>
      <c r="B422" t="s">
        <v>734</v>
      </c>
      <c r="C422" t="s">
        <v>236</v>
      </c>
      <c r="D422" t="s">
        <v>46</v>
      </c>
      <c r="E422" t="s">
        <v>47</v>
      </c>
      <c r="F422" t="s">
        <v>2</v>
      </c>
      <c r="G422">
        <v>1</v>
      </c>
      <c r="H422">
        <v>420000</v>
      </c>
      <c r="I422">
        <v>0</v>
      </c>
      <c r="J422">
        <v>420000</v>
      </c>
      <c r="K422">
        <v>182006.71</v>
      </c>
      <c r="L422" t="s">
        <v>58</v>
      </c>
      <c r="M422" t="str">
        <f t="shared" si="6"/>
        <v>Mar</v>
      </c>
    </row>
    <row r="423" spans="1:13">
      <c r="A423" t="s">
        <v>880</v>
      </c>
      <c r="B423" t="s">
        <v>854</v>
      </c>
      <c r="C423" t="s">
        <v>144</v>
      </c>
      <c r="D423" t="s">
        <v>62</v>
      </c>
      <c r="E423" t="s">
        <v>47</v>
      </c>
      <c r="F423" t="s">
        <v>5</v>
      </c>
      <c r="G423">
        <v>1</v>
      </c>
      <c r="H423">
        <v>180000</v>
      </c>
      <c r="I423">
        <v>0.15</v>
      </c>
      <c r="J423">
        <v>153000</v>
      </c>
      <c r="K423">
        <v>25514.63</v>
      </c>
      <c r="L423" t="s">
        <v>48</v>
      </c>
      <c r="M423" t="str">
        <f t="shared" si="6"/>
        <v>Jul</v>
      </c>
    </row>
    <row r="424" spans="1:13">
      <c r="A424" t="s">
        <v>881</v>
      </c>
      <c r="B424" t="s">
        <v>563</v>
      </c>
      <c r="C424" t="s">
        <v>375</v>
      </c>
      <c r="D424" t="s">
        <v>118</v>
      </c>
      <c r="E424" t="s">
        <v>57</v>
      </c>
      <c r="F424" t="s">
        <v>5</v>
      </c>
      <c r="G424">
        <v>4</v>
      </c>
      <c r="H424">
        <v>120000</v>
      </c>
      <c r="I424">
        <v>0</v>
      </c>
      <c r="J424">
        <v>480000</v>
      </c>
      <c r="K424">
        <v>204079.57</v>
      </c>
      <c r="L424" t="s">
        <v>48</v>
      </c>
      <c r="M424" t="str">
        <f t="shared" si="6"/>
        <v>Nov</v>
      </c>
    </row>
    <row r="425" spans="1:13">
      <c r="A425" t="s">
        <v>882</v>
      </c>
      <c r="B425" t="s">
        <v>157</v>
      </c>
      <c r="C425" t="s">
        <v>639</v>
      </c>
      <c r="D425" t="s">
        <v>90</v>
      </c>
      <c r="E425" t="s">
        <v>86</v>
      </c>
      <c r="F425" t="s">
        <v>4</v>
      </c>
      <c r="G425">
        <v>2</v>
      </c>
      <c r="H425">
        <v>45000</v>
      </c>
      <c r="I425">
        <v>0.15</v>
      </c>
      <c r="J425">
        <v>76500</v>
      </c>
      <c r="K425">
        <v>16474.3</v>
      </c>
      <c r="L425" t="s">
        <v>48</v>
      </c>
      <c r="M425" t="str">
        <f t="shared" si="6"/>
        <v>Jan</v>
      </c>
    </row>
    <row r="426" spans="1:13">
      <c r="A426" t="s">
        <v>883</v>
      </c>
      <c r="B426" t="s">
        <v>845</v>
      </c>
      <c r="C426" t="s">
        <v>792</v>
      </c>
      <c r="D426" t="s">
        <v>62</v>
      </c>
      <c r="E426" t="s">
        <v>47</v>
      </c>
      <c r="F426" t="s">
        <v>6</v>
      </c>
      <c r="G426">
        <v>4</v>
      </c>
      <c r="H426">
        <v>180000</v>
      </c>
      <c r="I426">
        <v>0</v>
      </c>
      <c r="J426">
        <v>720000</v>
      </c>
      <c r="K426">
        <v>255193.43</v>
      </c>
      <c r="L426" t="s">
        <v>91</v>
      </c>
      <c r="M426" t="str">
        <f t="shared" si="6"/>
        <v>Dec</v>
      </c>
    </row>
    <row r="427" spans="1:13">
      <c r="A427" t="s">
        <v>884</v>
      </c>
      <c r="B427" t="s">
        <v>322</v>
      </c>
      <c r="C427" t="s">
        <v>713</v>
      </c>
      <c r="D427" t="s">
        <v>90</v>
      </c>
      <c r="E427" t="s">
        <v>86</v>
      </c>
      <c r="F427" t="s">
        <v>6</v>
      </c>
      <c r="G427">
        <v>1</v>
      </c>
      <c r="H427">
        <v>45000</v>
      </c>
      <c r="I427">
        <v>0.15</v>
      </c>
      <c r="J427">
        <v>38250</v>
      </c>
      <c r="K427">
        <v>5977</v>
      </c>
      <c r="L427" t="s">
        <v>71</v>
      </c>
      <c r="M427" t="str">
        <f t="shared" si="6"/>
        <v>Mar</v>
      </c>
    </row>
    <row r="428" spans="1:13">
      <c r="A428" t="s">
        <v>885</v>
      </c>
      <c r="B428" t="s">
        <v>886</v>
      </c>
      <c r="C428" t="s">
        <v>234</v>
      </c>
      <c r="D428" t="s">
        <v>62</v>
      </c>
      <c r="E428" t="s">
        <v>47</v>
      </c>
      <c r="F428" t="s">
        <v>2</v>
      </c>
      <c r="G428">
        <v>4</v>
      </c>
      <c r="H428">
        <v>180000</v>
      </c>
      <c r="I428">
        <v>0</v>
      </c>
      <c r="J428">
        <v>720000</v>
      </c>
      <c r="K428">
        <v>306946.93</v>
      </c>
      <c r="L428" t="s">
        <v>71</v>
      </c>
      <c r="M428" t="str">
        <f t="shared" si="6"/>
        <v>Oct</v>
      </c>
    </row>
    <row r="429" spans="1:13">
      <c r="A429" t="s">
        <v>887</v>
      </c>
      <c r="B429" t="s">
        <v>262</v>
      </c>
      <c r="C429" t="s">
        <v>594</v>
      </c>
      <c r="D429" t="s">
        <v>118</v>
      </c>
      <c r="E429" t="s">
        <v>57</v>
      </c>
      <c r="F429" t="s">
        <v>5</v>
      </c>
      <c r="G429">
        <v>5</v>
      </c>
      <c r="H429">
        <v>120000</v>
      </c>
      <c r="I429">
        <v>0</v>
      </c>
      <c r="J429">
        <v>600000</v>
      </c>
      <c r="K429">
        <v>167817.79</v>
      </c>
      <c r="L429" t="s">
        <v>71</v>
      </c>
      <c r="M429" t="str">
        <f t="shared" si="6"/>
        <v>Nov</v>
      </c>
    </row>
    <row r="430" spans="1:13">
      <c r="A430" t="s">
        <v>888</v>
      </c>
      <c r="B430" t="s">
        <v>889</v>
      </c>
      <c r="C430" t="s">
        <v>167</v>
      </c>
      <c r="D430" t="s">
        <v>85</v>
      </c>
      <c r="E430" t="s">
        <v>86</v>
      </c>
      <c r="F430" t="s">
        <v>3</v>
      </c>
      <c r="G430">
        <v>5</v>
      </c>
      <c r="H430">
        <v>12000</v>
      </c>
      <c r="I430">
        <v>0.1</v>
      </c>
      <c r="J430">
        <v>54000</v>
      </c>
      <c r="K430">
        <v>15426.65</v>
      </c>
      <c r="L430" t="s">
        <v>91</v>
      </c>
      <c r="M430" t="str">
        <f t="shared" si="6"/>
        <v>Sep</v>
      </c>
    </row>
    <row r="431" spans="1:13">
      <c r="A431" t="s">
        <v>890</v>
      </c>
      <c r="B431" t="s">
        <v>307</v>
      </c>
      <c r="C431" t="s">
        <v>236</v>
      </c>
      <c r="D431" t="s">
        <v>62</v>
      </c>
      <c r="E431" t="s">
        <v>47</v>
      </c>
      <c r="F431" t="s">
        <v>5</v>
      </c>
      <c r="G431">
        <v>2</v>
      </c>
      <c r="H431">
        <v>180000</v>
      </c>
      <c r="I431">
        <v>0</v>
      </c>
      <c r="J431">
        <v>360000</v>
      </c>
      <c r="K431">
        <v>131005.1</v>
      </c>
      <c r="L431" t="s">
        <v>91</v>
      </c>
      <c r="M431" t="str">
        <f t="shared" si="6"/>
        <v>May</v>
      </c>
    </row>
    <row r="432" spans="1:13">
      <c r="A432" t="s">
        <v>891</v>
      </c>
      <c r="B432" t="s">
        <v>892</v>
      </c>
      <c r="C432" t="s">
        <v>51</v>
      </c>
      <c r="D432" t="s">
        <v>129</v>
      </c>
      <c r="E432" t="s">
        <v>47</v>
      </c>
      <c r="F432" t="s">
        <v>2</v>
      </c>
      <c r="G432">
        <v>5</v>
      </c>
      <c r="H432">
        <v>650000</v>
      </c>
      <c r="I432">
        <v>0.05</v>
      </c>
      <c r="J432">
        <v>3087500</v>
      </c>
      <c r="K432">
        <v>627096</v>
      </c>
      <c r="L432" t="s">
        <v>48</v>
      </c>
      <c r="M432" t="str">
        <f t="shared" si="6"/>
        <v>Aug</v>
      </c>
    </row>
    <row r="433" spans="1:13">
      <c r="A433" t="s">
        <v>893</v>
      </c>
      <c r="B433" t="s">
        <v>458</v>
      </c>
      <c r="C433" t="s">
        <v>81</v>
      </c>
      <c r="D433" t="s">
        <v>118</v>
      </c>
      <c r="E433" t="s">
        <v>57</v>
      </c>
      <c r="F433" t="s">
        <v>2</v>
      </c>
      <c r="G433">
        <v>2</v>
      </c>
      <c r="H433">
        <v>120000</v>
      </c>
      <c r="I433">
        <v>0.05</v>
      </c>
      <c r="J433">
        <v>228000</v>
      </c>
      <c r="K433">
        <v>61416.92</v>
      </c>
      <c r="L433" t="s">
        <v>71</v>
      </c>
      <c r="M433" t="str">
        <f t="shared" si="6"/>
        <v>Dec</v>
      </c>
    </row>
    <row r="434" spans="1:13">
      <c r="A434" t="s">
        <v>894</v>
      </c>
      <c r="B434" t="s">
        <v>633</v>
      </c>
      <c r="C434" t="s">
        <v>895</v>
      </c>
      <c r="D434" t="s">
        <v>85</v>
      </c>
      <c r="E434" t="s">
        <v>86</v>
      </c>
      <c r="F434" t="s">
        <v>3</v>
      </c>
      <c r="G434">
        <v>2</v>
      </c>
      <c r="H434">
        <v>12000</v>
      </c>
      <c r="I434">
        <v>0</v>
      </c>
      <c r="J434">
        <v>24000</v>
      </c>
      <c r="K434">
        <v>6960.47</v>
      </c>
      <c r="L434" t="s">
        <v>48</v>
      </c>
      <c r="M434" t="str">
        <f t="shared" si="6"/>
        <v>Mar</v>
      </c>
    </row>
    <row r="435" spans="1:13">
      <c r="A435" t="s">
        <v>896</v>
      </c>
      <c r="B435" t="s">
        <v>116</v>
      </c>
      <c r="C435" t="s">
        <v>298</v>
      </c>
      <c r="D435" t="s">
        <v>85</v>
      </c>
      <c r="E435" t="s">
        <v>86</v>
      </c>
      <c r="F435" t="s">
        <v>4</v>
      </c>
      <c r="G435">
        <v>5</v>
      </c>
      <c r="H435">
        <v>12000</v>
      </c>
      <c r="I435">
        <v>0</v>
      </c>
      <c r="J435">
        <v>60000</v>
      </c>
      <c r="K435">
        <v>17877.64</v>
      </c>
      <c r="L435" t="s">
        <v>91</v>
      </c>
      <c r="M435" t="str">
        <f t="shared" si="6"/>
        <v>Oct</v>
      </c>
    </row>
    <row r="436" spans="1:13">
      <c r="A436" t="s">
        <v>897</v>
      </c>
      <c r="B436" t="s">
        <v>867</v>
      </c>
      <c r="C436" t="s">
        <v>236</v>
      </c>
      <c r="D436" t="s">
        <v>110</v>
      </c>
      <c r="E436" t="s">
        <v>47</v>
      </c>
      <c r="F436" t="s">
        <v>5</v>
      </c>
      <c r="G436">
        <v>1</v>
      </c>
      <c r="H436">
        <v>85000</v>
      </c>
      <c r="I436">
        <v>0</v>
      </c>
      <c r="J436">
        <v>85000</v>
      </c>
      <c r="K436">
        <v>36960.94</v>
      </c>
      <c r="L436" t="s">
        <v>71</v>
      </c>
      <c r="M436" t="str">
        <f t="shared" si="6"/>
        <v>Sep</v>
      </c>
    </row>
    <row r="437" spans="1:13">
      <c r="A437" t="s">
        <v>898</v>
      </c>
      <c r="B437" t="s">
        <v>899</v>
      </c>
      <c r="C437" t="s">
        <v>317</v>
      </c>
      <c r="D437" t="s">
        <v>129</v>
      </c>
      <c r="E437" t="s">
        <v>47</v>
      </c>
      <c r="F437" t="s">
        <v>2</v>
      </c>
      <c r="G437">
        <v>5</v>
      </c>
      <c r="H437">
        <v>650000</v>
      </c>
      <c r="I437">
        <v>0</v>
      </c>
      <c r="J437">
        <v>3250000</v>
      </c>
      <c r="K437">
        <v>754844.15</v>
      </c>
      <c r="L437" t="s">
        <v>91</v>
      </c>
      <c r="M437" t="str">
        <f t="shared" si="6"/>
        <v>Jun</v>
      </c>
    </row>
    <row r="438" spans="1:13">
      <c r="A438" t="s">
        <v>900</v>
      </c>
      <c r="B438" t="s">
        <v>901</v>
      </c>
      <c r="C438" t="s">
        <v>599</v>
      </c>
      <c r="D438" t="s">
        <v>129</v>
      </c>
      <c r="E438" t="s">
        <v>47</v>
      </c>
      <c r="F438" t="s">
        <v>5</v>
      </c>
      <c r="G438">
        <v>2</v>
      </c>
      <c r="H438">
        <v>650000</v>
      </c>
      <c r="I438">
        <v>0.15</v>
      </c>
      <c r="J438">
        <v>1105000</v>
      </c>
      <c r="K438">
        <v>142651.57999999999</v>
      </c>
      <c r="L438" t="s">
        <v>91</v>
      </c>
      <c r="M438" t="str">
        <f t="shared" si="6"/>
        <v>Jan</v>
      </c>
    </row>
    <row r="439" spans="1:13">
      <c r="A439" t="s">
        <v>902</v>
      </c>
      <c r="B439" t="s">
        <v>108</v>
      </c>
      <c r="C439" t="s">
        <v>173</v>
      </c>
      <c r="D439" t="s">
        <v>46</v>
      </c>
      <c r="E439" t="s">
        <v>47</v>
      </c>
      <c r="F439" t="s">
        <v>6</v>
      </c>
      <c r="G439">
        <v>4</v>
      </c>
      <c r="H439">
        <v>420000</v>
      </c>
      <c r="I439">
        <v>0.15</v>
      </c>
      <c r="J439">
        <v>1428000</v>
      </c>
      <c r="K439">
        <v>458171.81</v>
      </c>
      <c r="L439" t="s">
        <v>58</v>
      </c>
      <c r="M439" t="str">
        <f t="shared" si="6"/>
        <v>Jul</v>
      </c>
    </row>
    <row r="440" spans="1:13">
      <c r="A440" t="s">
        <v>903</v>
      </c>
      <c r="B440" t="s">
        <v>346</v>
      </c>
      <c r="C440" t="s">
        <v>460</v>
      </c>
      <c r="D440" t="s">
        <v>110</v>
      </c>
      <c r="E440" t="s">
        <v>47</v>
      </c>
      <c r="F440" t="s">
        <v>3</v>
      </c>
      <c r="G440">
        <v>4</v>
      </c>
      <c r="H440">
        <v>85000</v>
      </c>
      <c r="I440">
        <v>0.2</v>
      </c>
      <c r="J440">
        <v>272000</v>
      </c>
      <c r="K440">
        <v>55873.38</v>
      </c>
      <c r="L440" t="s">
        <v>91</v>
      </c>
      <c r="M440" t="str">
        <f t="shared" si="6"/>
        <v>Aug</v>
      </c>
    </row>
    <row r="441" spans="1:13">
      <c r="A441" t="s">
        <v>904</v>
      </c>
      <c r="B441" t="s">
        <v>541</v>
      </c>
      <c r="C441" t="s">
        <v>219</v>
      </c>
      <c r="D441" t="s">
        <v>118</v>
      </c>
      <c r="E441" t="s">
        <v>57</v>
      </c>
      <c r="F441" t="s">
        <v>2</v>
      </c>
      <c r="G441">
        <v>5</v>
      </c>
      <c r="H441">
        <v>120000</v>
      </c>
      <c r="I441">
        <v>0</v>
      </c>
      <c r="J441">
        <v>600000</v>
      </c>
      <c r="K441">
        <v>208701.77</v>
      </c>
      <c r="L441" t="s">
        <v>58</v>
      </c>
      <c r="M441" t="str">
        <f t="shared" si="6"/>
        <v>Dec</v>
      </c>
    </row>
    <row r="442" spans="1:13">
      <c r="A442" t="s">
        <v>905</v>
      </c>
      <c r="B442" t="s">
        <v>297</v>
      </c>
      <c r="C442" t="s">
        <v>84</v>
      </c>
      <c r="D442" t="s">
        <v>129</v>
      </c>
      <c r="E442" t="s">
        <v>47</v>
      </c>
      <c r="F442" t="s">
        <v>5</v>
      </c>
      <c r="G442">
        <v>5</v>
      </c>
      <c r="H442">
        <v>650000</v>
      </c>
      <c r="I442">
        <v>0.1</v>
      </c>
      <c r="J442">
        <v>2925000</v>
      </c>
      <c r="K442">
        <v>390960.76</v>
      </c>
      <c r="L442" t="s">
        <v>58</v>
      </c>
      <c r="M442" t="str">
        <f t="shared" si="6"/>
        <v>Dec</v>
      </c>
    </row>
    <row r="443" spans="1:13">
      <c r="A443" t="s">
        <v>906</v>
      </c>
      <c r="B443" t="s">
        <v>636</v>
      </c>
      <c r="C443" t="s">
        <v>45</v>
      </c>
      <c r="D443" t="s">
        <v>52</v>
      </c>
      <c r="E443" t="s">
        <v>47</v>
      </c>
      <c r="F443" t="s">
        <v>4</v>
      </c>
      <c r="G443">
        <v>5</v>
      </c>
      <c r="H443">
        <v>55000</v>
      </c>
      <c r="I443">
        <v>0</v>
      </c>
      <c r="J443">
        <v>275000</v>
      </c>
      <c r="K443">
        <v>76256.23</v>
      </c>
      <c r="L443" t="s">
        <v>58</v>
      </c>
      <c r="M443" t="str">
        <f t="shared" si="6"/>
        <v>Jun</v>
      </c>
    </row>
    <row r="444" spans="1:13">
      <c r="A444" t="s">
        <v>907</v>
      </c>
      <c r="B444" t="s">
        <v>479</v>
      </c>
      <c r="C444" t="s">
        <v>150</v>
      </c>
      <c r="D444" t="s">
        <v>85</v>
      </c>
      <c r="E444" t="s">
        <v>86</v>
      </c>
      <c r="F444" t="s">
        <v>5</v>
      </c>
      <c r="G444">
        <v>2</v>
      </c>
      <c r="H444">
        <v>12000</v>
      </c>
      <c r="I444">
        <v>0.05</v>
      </c>
      <c r="J444">
        <v>22800</v>
      </c>
      <c r="K444">
        <v>3234.18</v>
      </c>
      <c r="L444" t="s">
        <v>91</v>
      </c>
      <c r="M444" t="str">
        <f t="shared" si="6"/>
        <v>Feb</v>
      </c>
    </row>
    <row r="445" spans="1:13">
      <c r="A445" t="s">
        <v>908</v>
      </c>
      <c r="B445" t="s">
        <v>909</v>
      </c>
      <c r="C445" t="s">
        <v>117</v>
      </c>
      <c r="D445" t="s">
        <v>90</v>
      </c>
      <c r="E445" t="s">
        <v>86</v>
      </c>
      <c r="F445" t="s">
        <v>6</v>
      </c>
      <c r="G445">
        <v>3</v>
      </c>
      <c r="H445">
        <v>45000</v>
      </c>
      <c r="I445">
        <v>0</v>
      </c>
      <c r="J445">
        <v>135000</v>
      </c>
      <c r="K445">
        <v>51654.239999999998</v>
      </c>
      <c r="L445" t="s">
        <v>91</v>
      </c>
      <c r="M445" t="str">
        <f t="shared" si="6"/>
        <v>Jan</v>
      </c>
    </row>
    <row r="446" spans="1:13">
      <c r="A446" t="s">
        <v>910</v>
      </c>
      <c r="B446" t="s">
        <v>827</v>
      </c>
      <c r="C446" t="s">
        <v>255</v>
      </c>
      <c r="D446" t="s">
        <v>46</v>
      </c>
      <c r="E446" t="s">
        <v>47</v>
      </c>
      <c r="F446" t="s">
        <v>2</v>
      </c>
      <c r="G446">
        <v>1</v>
      </c>
      <c r="H446">
        <v>420000</v>
      </c>
      <c r="I446">
        <v>0.1</v>
      </c>
      <c r="J446">
        <v>378000</v>
      </c>
      <c r="K446">
        <v>97305.84</v>
      </c>
      <c r="L446" t="s">
        <v>71</v>
      </c>
      <c r="M446" t="str">
        <f t="shared" si="6"/>
        <v>Jan</v>
      </c>
    </row>
    <row r="447" spans="1:13">
      <c r="A447" t="s">
        <v>911</v>
      </c>
      <c r="B447" t="s">
        <v>912</v>
      </c>
      <c r="C447" t="s">
        <v>580</v>
      </c>
      <c r="D447" t="s">
        <v>90</v>
      </c>
      <c r="E447" t="s">
        <v>86</v>
      </c>
      <c r="F447" t="s">
        <v>3</v>
      </c>
      <c r="G447">
        <v>3</v>
      </c>
      <c r="H447">
        <v>45000</v>
      </c>
      <c r="I447">
        <v>0.15</v>
      </c>
      <c r="J447">
        <v>114750</v>
      </c>
      <c r="K447">
        <v>26818.58</v>
      </c>
      <c r="L447" t="s">
        <v>58</v>
      </c>
      <c r="M447" t="str">
        <f t="shared" si="6"/>
        <v>Jul</v>
      </c>
    </row>
    <row r="448" spans="1:13">
      <c r="A448" t="s">
        <v>913</v>
      </c>
      <c r="B448" t="s">
        <v>874</v>
      </c>
      <c r="C448" t="s">
        <v>620</v>
      </c>
      <c r="D448" t="s">
        <v>110</v>
      </c>
      <c r="E448" t="s">
        <v>47</v>
      </c>
      <c r="F448" t="s">
        <v>6</v>
      </c>
      <c r="G448">
        <v>1</v>
      </c>
      <c r="H448">
        <v>85000</v>
      </c>
      <c r="I448">
        <v>0</v>
      </c>
      <c r="J448">
        <v>85000</v>
      </c>
      <c r="K448">
        <v>31481.85</v>
      </c>
      <c r="L448" t="s">
        <v>48</v>
      </c>
      <c r="M448" t="str">
        <f t="shared" si="6"/>
        <v>Aug</v>
      </c>
    </row>
    <row r="449" spans="1:13">
      <c r="A449" t="s">
        <v>914</v>
      </c>
      <c r="B449" t="s">
        <v>915</v>
      </c>
      <c r="C449" t="s">
        <v>144</v>
      </c>
      <c r="D449" t="s">
        <v>46</v>
      </c>
      <c r="E449" t="s">
        <v>47</v>
      </c>
      <c r="F449" t="s">
        <v>3</v>
      </c>
      <c r="G449">
        <v>2</v>
      </c>
      <c r="H449">
        <v>420000</v>
      </c>
      <c r="I449">
        <v>0.1</v>
      </c>
      <c r="J449">
        <v>756000</v>
      </c>
      <c r="K449">
        <v>257506.86</v>
      </c>
      <c r="L449" t="s">
        <v>48</v>
      </c>
      <c r="M449" t="str">
        <f t="shared" si="6"/>
        <v>Jun</v>
      </c>
    </row>
    <row r="450" spans="1:13">
      <c r="A450" t="s">
        <v>916</v>
      </c>
      <c r="B450" t="s">
        <v>917</v>
      </c>
      <c r="C450" t="s">
        <v>135</v>
      </c>
      <c r="D450" t="s">
        <v>85</v>
      </c>
      <c r="E450" t="s">
        <v>86</v>
      </c>
      <c r="F450" t="s">
        <v>2</v>
      </c>
      <c r="G450">
        <v>5</v>
      </c>
      <c r="H450">
        <v>12000</v>
      </c>
      <c r="I450">
        <v>0.1</v>
      </c>
      <c r="J450">
        <v>54000</v>
      </c>
      <c r="K450">
        <v>9587.02</v>
      </c>
      <c r="L450" t="s">
        <v>71</v>
      </c>
      <c r="M450" t="str">
        <f t="shared" si="6"/>
        <v>Nov</v>
      </c>
    </row>
    <row r="451" spans="1:13">
      <c r="A451" t="s">
        <v>918</v>
      </c>
      <c r="B451" t="s">
        <v>919</v>
      </c>
      <c r="C451" t="s">
        <v>298</v>
      </c>
      <c r="D451" t="s">
        <v>110</v>
      </c>
      <c r="E451" t="s">
        <v>47</v>
      </c>
      <c r="F451" t="s">
        <v>4</v>
      </c>
      <c r="G451">
        <v>1</v>
      </c>
      <c r="H451">
        <v>85000</v>
      </c>
      <c r="I451">
        <v>0.05</v>
      </c>
      <c r="J451">
        <v>80750</v>
      </c>
      <c r="K451">
        <v>29282.62</v>
      </c>
      <c r="L451" t="s">
        <v>91</v>
      </c>
      <c r="M451" t="str">
        <f t="shared" ref="M451:M503" si="7">TEXT(B451,"mmm")</f>
        <v>Jan</v>
      </c>
    </row>
    <row r="452" spans="1:13">
      <c r="A452" t="s">
        <v>920</v>
      </c>
      <c r="B452" t="s">
        <v>921</v>
      </c>
      <c r="C452" t="s">
        <v>566</v>
      </c>
      <c r="D452" t="s">
        <v>75</v>
      </c>
      <c r="E452" t="s">
        <v>57</v>
      </c>
      <c r="F452" t="s">
        <v>3</v>
      </c>
      <c r="G452">
        <v>2</v>
      </c>
      <c r="H452">
        <v>35000</v>
      </c>
      <c r="I452">
        <v>0</v>
      </c>
      <c r="J452">
        <v>70000</v>
      </c>
      <c r="K452">
        <v>30561.89</v>
      </c>
      <c r="L452" t="s">
        <v>71</v>
      </c>
      <c r="M452" t="str">
        <f t="shared" si="7"/>
        <v>Jun</v>
      </c>
    </row>
    <row r="453" spans="1:13">
      <c r="A453" t="s">
        <v>922</v>
      </c>
      <c r="B453" t="s">
        <v>919</v>
      </c>
      <c r="C453" t="s">
        <v>219</v>
      </c>
      <c r="D453" t="s">
        <v>110</v>
      </c>
      <c r="E453" t="s">
        <v>47</v>
      </c>
      <c r="F453" t="s">
        <v>3</v>
      </c>
      <c r="G453">
        <v>3</v>
      </c>
      <c r="H453">
        <v>85000</v>
      </c>
      <c r="I453">
        <v>0</v>
      </c>
      <c r="J453">
        <v>255000</v>
      </c>
      <c r="K453">
        <v>85309.33</v>
      </c>
      <c r="L453" t="s">
        <v>71</v>
      </c>
      <c r="M453" t="str">
        <f t="shared" si="7"/>
        <v>Jan</v>
      </c>
    </row>
    <row r="454" spans="1:13">
      <c r="A454" t="s">
        <v>923</v>
      </c>
      <c r="B454" t="s">
        <v>64</v>
      </c>
      <c r="C454" t="s">
        <v>689</v>
      </c>
      <c r="D454" t="s">
        <v>118</v>
      </c>
      <c r="E454" t="s">
        <v>57</v>
      </c>
      <c r="F454" t="s">
        <v>5</v>
      </c>
      <c r="G454">
        <v>1</v>
      </c>
      <c r="H454">
        <v>120000</v>
      </c>
      <c r="I454">
        <v>0</v>
      </c>
      <c r="J454">
        <v>120000</v>
      </c>
      <c r="K454">
        <v>48465.04</v>
      </c>
      <c r="L454" t="s">
        <v>71</v>
      </c>
      <c r="M454" t="str">
        <f t="shared" si="7"/>
        <v>Feb</v>
      </c>
    </row>
    <row r="455" spans="1:13">
      <c r="A455" t="s">
        <v>924</v>
      </c>
      <c r="B455" t="s">
        <v>925</v>
      </c>
      <c r="C455" t="s">
        <v>208</v>
      </c>
      <c r="D455" t="s">
        <v>46</v>
      </c>
      <c r="E455" t="s">
        <v>47</v>
      </c>
      <c r="F455" t="s">
        <v>5</v>
      </c>
      <c r="G455">
        <v>4</v>
      </c>
      <c r="H455">
        <v>420000</v>
      </c>
      <c r="I455">
        <v>0.1</v>
      </c>
      <c r="J455">
        <v>1512000</v>
      </c>
      <c r="K455">
        <v>366145.69</v>
      </c>
      <c r="L455" t="s">
        <v>71</v>
      </c>
      <c r="M455" t="str">
        <f t="shared" si="7"/>
        <v>Jun</v>
      </c>
    </row>
    <row r="456" spans="1:13">
      <c r="A456" t="s">
        <v>926</v>
      </c>
      <c r="B456" t="s">
        <v>565</v>
      </c>
      <c r="C456" t="s">
        <v>65</v>
      </c>
      <c r="D456" t="s">
        <v>110</v>
      </c>
      <c r="E456" t="s">
        <v>47</v>
      </c>
      <c r="F456" t="s">
        <v>6</v>
      </c>
      <c r="G456">
        <v>4</v>
      </c>
      <c r="H456">
        <v>85000</v>
      </c>
      <c r="I456">
        <v>0.05</v>
      </c>
      <c r="J456">
        <v>323000</v>
      </c>
      <c r="K456">
        <v>118871.69</v>
      </c>
      <c r="L456" t="s">
        <v>71</v>
      </c>
      <c r="M456" t="str">
        <f t="shared" si="7"/>
        <v>Jul</v>
      </c>
    </row>
    <row r="457" spans="1:13">
      <c r="A457" t="s">
        <v>927</v>
      </c>
      <c r="B457" t="s">
        <v>806</v>
      </c>
      <c r="C457" t="s">
        <v>510</v>
      </c>
      <c r="D457" t="s">
        <v>90</v>
      </c>
      <c r="E457" t="s">
        <v>86</v>
      </c>
      <c r="F457" t="s">
        <v>5</v>
      </c>
      <c r="G457">
        <v>2</v>
      </c>
      <c r="H457">
        <v>45000</v>
      </c>
      <c r="I457">
        <v>0.05</v>
      </c>
      <c r="J457">
        <v>85500</v>
      </c>
      <c r="K457">
        <v>22288.81</v>
      </c>
      <c r="L457" t="s">
        <v>48</v>
      </c>
      <c r="M457" t="str">
        <f t="shared" si="7"/>
        <v>May</v>
      </c>
    </row>
    <row r="458" spans="1:13">
      <c r="A458" t="s">
        <v>928</v>
      </c>
      <c r="B458" t="s">
        <v>929</v>
      </c>
      <c r="C458" t="s">
        <v>327</v>
      </c>
      <c r="D458" t="s">
        <v>85</v>
      </c>
      <c r="E458" t="s">
        <v>86</v>
      </c>
      <c r="F458" t="s">
        <v>4</v>
      </c>
      <c r="G458">
        <v>4</v>
      </c>
      <c r="H458">
        <v>12000</v>
      </c>
      <c r="I458">
        <v>0.15</v>
      </c>
      <c r="J458">
        <v>40800</v>
      </c>
      <c r="K458">
        <v>11451.43</v>
      </c>
      <c r="L458" t="s">
        <v>71</v>
      </c>
      <c r="M458" t="str">
        <f t="shared" si="7"/>
        <v>Oct</v>
      </c>
    </row>
    <row r="459" spans="1:13">
      <c r="A459" t="s">
        <v>930</v>
      </c>
      <c r="B459" t="s">
        <v>931</v>
      </c>
      <c r="C459" t="s">
        <v>227</v>
      </c>
      <c r="D459" t="s">
        <v>56</v>
      </c>
      <c r="E459" t="s">
        <v>57</v>
      </c>
      <c r="F459" t="s">
        <v>6</v>
      </c>
      <c r="G459">
        <v>4</v>
      </c>
      <c r="H459">
        <v>210000</v>
      </c>
      <c r="I459">
        <v>0.15</v>
      </c>
      <c r="J459">
        <v>714000</v>
      </c>
      <c r="K459">
        <v>52040.9</v>
      </c>
      <c r="L459" t="s">
        <v>48</v>
      </c>
      <c r="M459" t="str">
        <f t="shared" si="7"/>
        <v>Dec</v>
      </c>
    </row>
    <row r="460" spans="1:13">
      <c r="A460" t="s">
        <v>932</v>
      </c>
      <c r="B460" t="s">
        <v>933</v>
      </c>
      <c r="C460" t="s">
        <v>566</v>
      </c>
      <c r="D460" t="s">
        <v>62</v>
      </c>
      <c r="E460" t="s">
        <v>47</v>
      </c>
      <c r="F460" t="s">
        <v>3</v>
      </c>
      <c r="G460">
        <v>5</v>
      </c>
      <c r="H460">
        <v>180000</v>
      </c>
      <c r="I460">
        <v>0.15</v>
      </c>
      <c r="J460">
        <v>765000</v>
      </c>
      <c r="K460">
        <v>51189.42</v>
      </c>
      <c r="L460" t="s">
        <v>58</v>
      </c>
      <c r="M460" t="str">
        <f t="shared" si="7"/>
        <v>Jan</v>
      </c>
    </row>
    <row r="461" spans="1:13">
      <c r="A461" t="s">
        <v>934</v>
      </c>
      <c r="B461" t="s">
        <v>761</v>
      </c>
      <c r="C461" t="s">
        <v>202</v>
      </c>
      <c r="D461" t="s">
        <v>46</v>
      </c>
      <c r="E461" t="s">
        <v>47</v>
      </c>
      <c r="F461" t="s">
        <v>2</v>
      </c>
      <c r="G461">
        <v>2</v>
      </c>
      <c r="H461">
        <v>420000</v>
      </c>
      <c r="I461">
        <v>0</v>
      </c>
      <c r="J461">
        <v>840000</v>
      </c>
      <c r="K461">
        <v>157513.01</v>
      </c>
      <c r="L461" t="s">
        <v>48</v>
      </c>
      <c r="M461" t="str">
        <f t="shared" si="7"/>
        <v>Aug</v>
      </c>
    </row>
    <row r="462" spans="1:13">
      <c r="A462" t="s">
        <v>935</v>
      </c>
      <c r="B462" t="s">
        <v>67</v>
      </c>
      <c r="C462" t="s">
        <v>429</v>
      </c>
      <c r="D462" t="s">
        <v>62</v>
      </c>
      <c r="E462" t="s">
        <v>47</v>
      </c>
      <c r="F462" t="s">
        <v>3</v>
      </c>
      <c r="G462">
        <v>4</v>
      </c>
      <c r="H462">
        <v>180000</v>
      </c>
      <c r="I462">
        <v>0</v>
      </c>
      <c r="J462">
        <v>720000</v>
      </c>
      <c r="K462">
        <v>130130.86</v>
      </c>
      <c r="L462" t="s">
        <v>91</v>
      </c>
      <c r="M462" t="str">
        <f t="shared" si="7"/>
        <v>Feb</v>
      </c>
    </row>
    <row r="463" spans="1:13">
      <c r="A463" t="s">
        <v>936</v>
      </c>
      <c r="B463" t="s">
        <v>451</v>
      </c>
      <c r="C463" t="s">
        <v>100</v>
      </c>
      <c r="D463" t="s">
        <v>85</v>
      </c>
      <c r="E463" t="s">
        <v>86</v>
      </c>
      <c r="F463" t="s">
        <v>6</v>
      </c>
      <c r="G463">
        <v>1</v>
      </c>
      <c r="H463">
        <v>12000</v>
      </c>
      <c r="I463">
        <v>0.1</v>
      </c>
      <c r="J463">
        <v>10800</v>
      </c>
      <c r="K463">
        <v>2397.38</v>
      </c>
      <c r="L463" t="s">
        <v>91</v>
      </c>
      <c r="M463" t="str">
        <f t="shared" si="7"/>
        <v>Feb</v>
      </c>
    </row>
    <row r="464" spans="1:13">
      <c r="A464" t="s">
        <v>937</v>
      </c>
      <c r="B464" t="s">
        <v>800</v>
      </c>
      <c r="C464" t="s">
        <v>772</v>
      </c>
      <c r="D464" t="s">
        <v>56</v>
      </c>
      <c r="E464" t="s">
        <v>57</v>
      </c>
      <c r="F464" t="s">
        <v>4</v>
      </c>
      <c r="G464">
        <v>1</v>
      </c>
      <c r="H464">
        <v>210000</v>
      </c>
      <c r="I464">
        <v>0.2</v>
      </c>
      <c r="J464">
        <v>168000</v>
      </c>
      <c r="K464">
        <v>17172.62</v>
      </c>
      <c r="L464" t="s">
        <v>48</v>
      </c>
      <c r="M464" t="str">
        <f t="shared" si="7"/>
        <v>Aug</v>
      </c>
    </row>
    <row r="465" spans="1:13">
      <c r="A465" t="s">
        <v>938</v>
      </c>
      <c r="B465" t="s">
        <v>322</v>
      </c>
      <c r="C465" t="s">
        <v>138</v>
      </c>
      <c r="D465" t="s">
        <v>62</v>
      </c>
      <c r="E465" t="s">
        <v>47</v>
      </c>
      <c r="F465" t="s">
        <v>5</v>
      </c>
      <c r="G465">
        <v>2</v>
      </c>
      <c r="H465">
        <v>180000</v>
      </c>
      <c r="I465">
        <v>0.15</v>
      </c>
      <c r="J465">
        <v>306000</v>
      </c>
      <c r="K465">
        <v>50852.800000000003</v>
      </c>
      <c r="L465" t="s">
        <v>48</v>
      </c>
      <c r="M465" t="str">
        <f t="shared" si="7"/>
        <v>Mar</v>
      </c>
    </row>
    <row r="466" spans="1:13">
      <c r="A466" t="s">
        <v>939</v>
      </c>
      <c r="B466" t="s">
        <v>699</v>
      </c>
      <c r="C466" t="s">
        <v>940</v>
      </c>
      <c r="D466" t="s">
        <v>75</v>
      </c>
      <c r="E466" t="s">
        <v>57</v>
      </c>
      <c r="F466" t="s">
        <v>3</v>
      </c>
      <c r="G466">
        <v>3</v>
      </c>
      <c r="H466">
        <v>35000</v>
      </c>
      <c r="I466">
        <v>0.1</v>
      </c>
      <c r="J466">
        <v>94500</v>
      </c>
      <c r="K466">
        <v>29261.73</v>
      </c>
      <c r="L466" t="s">
        <v>71</v>
      </c>
      <c r="M466" t="str">
        <f t="shared" si="7"/>
        <v>Oct</v>
      </c>
    </row>
    <row r="467" spans="1:13">
      <c r="A467" t="s">
        <v>941</v>
      </c>
      <c r="B467" t="s">
        <v>633</v>
      </c>
      <c r="C467" t="s">
        <v>205</v>
      </c>
      <c r="D467" t="s">
        <v>129</v>
      </c>
      <c r="E467" t="s">
        <v>47</v>
      </c>
      <c r="F467" t="s">
        <v>5</v>
      </c>
      <c r="G467">
        <v>3</v>
      </c>
      <c r="H467">
        <v>650000</v>
      </c>
      <c r="I467">
        <v>0.1</v>
      </c>
      <c r="J467">
        <v>1755000</v>
      </c>
      <c r="K467">
        <v>606761.56999999995</v>
      </c>
      <c r="L467" t="s">
        <v>71</v>
      </c>
      <c r="M467" t="str">
        <f t="shared" si="7"/>
        <v>Mar</v>
      </c>
    </row>
    <row r="468" spans="1:13">
      <c r="A468" t="s">
        <v>942</v>
      </c>
      <c r="B468" t="s">
        <v>309</v>
      </c>
      <c r="C468" t="s">
        <v>814</v>
      </c>
      <c r="D468" t="s">
        <v>85</v>
      </c>
      <c r="E468" t="s">
        <v>86</v>
      </c>
      <c r="F468" t="s">
        <v>6</v>
      </c>
      <c r="G468">
        <v>2</v>
      </c>
      <c r="H468">
        <v>12000</v>
      </c>
      <c r="I468">
        <v>0</v>
      </c>
      <c r="J468">
        <v>24000</v>
      </c>
      <c r="K468">
        <v>5967.54</v>
      </c>
      <c r="L468" t="s">
        <v>48</v>
      </c>
      <c r="M468" t="str">
        <f t="shared" si="7"/>
        <v>Dec</v>
      </c>
    </row>
    <row r="469" spans="1:13">
      <c r="A469" t="s">
        <v>943</v>
      </c>
      <c r="B469" t="s">
        <v>944</v>
      </c>
      <c r="C469" t="s">
        <v>138</v>
      </c>
      <c r="D469" t="s">
        <v>85</v>
      </c>
      <c r="E469" t="s">
        <v>86</v>
      </c>
      <c r="F469" t="s">
        <v>2</v>
      </c>
      <c r="G469">
        <v>3</v>
      </c>
      <c r="H469">
        <v>12000</v>
      </c>
      <c r="I469">
        <v>0.05</v>
      </c>
      <c r="J469">
        <v>34200</v>
      </c>
      <c r="K469">
        <v>6207.53</v>
      </c>
      <c r="L469" t="s">
        <v>58</v>
      </c>
      <c r="M469" t="str">
        <f t="shared" si="7"/>
        <v>Jun</v>
      </c>
    </row>
    <row r="470" spans="1:13">
      <c r="A470" t="s">
        <v>945</v>
      </c>
      <c r="B470" t="s">
        <v>226</v>
      </c>
      <c r="C470" t="s">
        <v>289</v>
      </c>
      <c r="D470" t="s">
        <v>75</v>
      </c>
      <c r="E470" t="s">
        <v>57</v>
      </c>
      <c r="F470" t="s">
        <v>2</v>
      </c>
      <c r="G470">
        <v>3</v>
      </c>
      <c r="H470">
        <v>35000</v>
      </c>
      <c r="I470">
        <v>0.05</v>
      </c>
      <c r="J470">
        <v>99750</v>
      </c>
      <c r="K470">
        <v>21338.54</v>
      </c>
      <c r="L470" t="s">
        <v>71</v>
      </c>
      <c r="M470" t="str">
        <f t="shared" si="7"/>
        <v>Aug</v>
      </c>
    </row>
    <row r="471" spans="1:13">
      <c r="A471" t="s">
        <v>946</v>
      </c>
      <c r="B471" t="s">
        <v>360</v>
      </c>
      <c r="C471" t="s">
        <v>81</v>
      </c>
      <c r="D471" t="s">
        <v>118</v>
      </c>
      <c r="E471" t="s">
        <v>57</v>
      </c>
      <c r="F471" t="s">
        <v>3</v>
      </c>
      <c r="G471">
        <v>4</v>
      </c>
      <c r="H471">
        <v>120000</v>
      </c>
      <c r="I471">
        <v>0.15</v>
      </c>
      <c r="J471">
        <v>408000</v>
      </c>
      <c r="K471">
        <v>31612.31</v>
      </c>
      <c r="L471" t="s">
        <v>58</v>
      </c>
      <c r="M471" t="str">
        <f t="shared" si="7"/>
        <v>Jul</v>
      </c>
    </row>
    <row r="472" spans="1:13">
      <c r="A472" t="s">
        <v>947</v>
      </c>
      <c r="B472" t="s">
        <v>771</v>
      </c>
      <c r="C472" t="s">
        <v>485</v>
      </c>
      <c r="D472" t="s">
        <v>46</v>
      </c>
      <c r="E472" t="s">
        <v>47</v>
      </c>
      <c r="F472" t="s">
        <v>3</v>
      </c>
      <c r="G472">
        <v>5</v>
      </c>
      <c r="H472">
        <v>420000</v>
      </c>
      <c r="I472">
        <v>0.1</v>
      </c>
      <c r="J472">
        <v>1890000</v>
      </c>
      <c r="K472">
        <v>658086.55000000005</v>
      </c>
      <c r="L472" t="s">
        <v>48</v>
      </c>
      <c r="M472" t="str">
        <f t="shared" si="7"/>
        <v>Jun</v>
      </c>
    </row>
    <row r="473" spans="1:13">
      <c r="A473" t="s">
        <v>948</v>
      </c>
      <c r="B473" t="s">
        <v>516</v>
      </c>
      <c r="C473" t="s">
        <v>417</v>
      </c>
      <c r="D473" t="s">
        <v>110</v>
      </c>
      <c r="E473" t="s">
        <v>47</v>
      </c>
      <c r="F473" t="s">
        <v>5</v>
      </c>
      <c r="G473">
        <v>2</v>
      </c>
      <c r="H473">
        <v>85000</v>
      </c>
      <c r="I473">
        <v>0</v>
      </c>
      <c r="J473">
        <v>170000</v>
      </c>
      <c r="K473">
        <v>65048.4</v>
      </c>
      <c r="L473" t="s">
        <v>91</v>
      </c>
      <c r="M473" t="str">
        <f t="shared" si="7"/>
        <v>Apr</v>
      </c>
    </row>
    <row r="474" spans="1:13">
      <c r="A474" t="s">
        <v>949</v>
      </c>
      <c r="B474" t="s">
        <v>246</v>
      </c>
      <c r="C474" t="s">
        <v>455</v>
      </c>
      <c r="D474" t="s">
        <v>118</v>
      </c>
      <c r="E474" t="s">
        <v>57</v>
      </c>
      <c r="F474" t="s">
        <v>5</v>
      </c>
      <c r="G474">
        <v>3</v>
      </c>
      <c r="H474">
        <v>120000</v>
      </c>
      <c r="I474">
        <v>0.1</v>
      </c>
      <c r="J474">
        <v>324000</v>
      </c>
      <c r="K474">
        <v>76901.72</v>
      </c>
      <c r="L474" t="s">
        <v>58</v>
      </c>
      <c r="M474" t="str">
        <f t="shared" si="7"/>
        <v>May</v>
      </c>
    </row>
    <row r="475" spans="1:13">
      <c r="A475" t="s">
        <v>950</v>
      </c>
      <c r="B475" t="s">
        <v>300</v>
      </c>
      <c r="C475" t="s">
        <v>227</v>
      </c>
      <c r="D475" t="s">
        <v>85</v>
      </c>
      <c r="E475" t="s">
        <v>86</v>
      </c>
      <c r="F475" t="s">
        <v>3</v>
      </c>
      <c r="G475">
        <v>5</v>
      </c>
      <c r="H475">
        <v>12000</v>
      </c>
      <c r="I475">
        <v>0.1</v>
      </c>
      <c r="J475">
        <v>54000</v>
      </c>
      <c r="K475">
        <v>18123.14</v>
      </c>
      <c r="L475" t="s">
        <v>91</v>
      </c>
      <c r="M475" t="str">
        <f t="shared" si="7"/>
        <v>Sep</v>
      </c>
    </row>
    <row r="476" spans="1:13">
      <c r="A476" t="s">
        <v>951</v>
      </c>
      <c r="B476" t="s">
        <v>195</v>
      </c>
      <c r="C476" t="s">
        <v>817</v>
      </c>
      <c r="D476" t="s">
        <v>85</v>
      </c>
      <c r="E476" t="s">
        <v>86</v>
      </c>
      <c r="F476" t="s">
        <v>6</v>
      </c>
      <c r="G476">
        <v>3</v>
      </c>
      <c r="H476">
        <v>12000</v>
      </c>
      <c r="I476">
        <v>0.2</v>
      </c>
      <c r="J476">
        <v>28800</v>
      </c>
      <c r="K476">
        <v>923.94</v>
      </c>
      <c r="L476" t="s">
        <v>48</v>
      </c>
      <c r="M476" t="str">
        <f t="shared" si="7"/>
        <v>Mar</v>
      </c>
    </row>
    <row r="477" spans="1:13">
      <c r="A477" t="s">
        <v>952</v>
      </c>
      <c r="B477" t="s">
        <v>157</v>
      </c>
      <c r="C477" t="s">
        <v>820</v>
      </c>
      <c r="D477" t="s">
        <v>62</v>
      </c>
      <c r="E477" t="s">
        <v>47</v>
      </c>
      <c r="F477" t="s">
        <v>2</v>
      </c>
      <c r="G477">
        <v>2</v>
      </c>
      <c r="H477">
        <v>180000</v>
      </c>
      <c r="I477">
        <v>0.15</v>
      </c>
      <c r="J477">
        <v>306000</v>
      </c>
      <c r="K477">
        <v>32200.51</v>
      </c>
      <c r="L477" t="s">
        <v>58</v>
      </c>
      <c r="M477" t="str">
        <f t="shared" si="7"/>
        <v>Jan</v>
      </c>
    </row>
    <row r="478" spans="1:13">
      <c r="A478" t="s">
        <v>953</v>
      </c>
      <c r="B478" t="s">
        <v>741</v>
      </c>
      <c r="C478" t="s">
        <v>388</v>
      </c>
      <c r="D478" t="s">
        <v>118</v>
      </c>
      <c r="E478" t="s">
        <v>57</v>
      </c>
      <c r="F478" t="s">
        <v>4</v>
      </c>
      <c r="G478">
        <v>4</v>
      </c>
      <c r="H478">
        <v>120000</v>
      </c>
      <c r="I478">
        <v>0.15</v>
      </c>
      <c r="J478">
        <v>408000</v>
      </c>
      <c r="K478">
        <v>141401.21</v>
      </c>
      <c r="L478" t="s">
        <v>58</v>
      </c>
      <c r="M478" t="str">
        <f t="shared" si="7"/>
        <v>May</v>
      </c>
    </row>
    <row r="479" spans="1:13">
      <c r="A479" t="s">
        <v>954</v>
      </c>
      <c r="B479" t="s">
        <v>955</v>
      </c>
      <c r="C479" t="s">
        <v>114</v>
      </c>
      <c r="D479" t="s">
        <v>110</v>
      </c>
      <c r="E479" t="s">
        <v>47</v>
      </c>
      <c r="F479" t="s">
        <v>6</v>
      </c>
      <c r="G479">
        <v>1</v>
      </c>
      <c r="H479">
        <v>85000</v>
      </c>
      <c r="I479">
        <v>0</v>
      </c>
      <c r="J479">
        <v>85000</v>
      </c>
      <c r="K479">
        <v>32457.64</v>
      </c>
      <c r="L479" t="s">
        <v>71</v>
      </c>
      <c r="M479" t="str">
        <f t="shared" si="7"/>
        <v>Nov</v>
      </c>
    </row>
    <row r="480" spans="1:13">
      <c r="A480" t="s">
        <v>956</v>
      </c>
      <c r="B480" t="s">
        <v>957</v>
      </c>
      <c r="C480" t="s">
        <v>173</v>
      </c>
      <c r="D480" t="s">
        <v>62</v>
      </c>
      <c r="E480" t="s">
        <v>47</v>
      </c>
      <c r="F480" t="s">
        <v>3</v>
      </c>
      <c r="G480">
        <v>4</v>
      </c>
      <c r="H480">
        <v>180000</v>
      </c>
      <c r="I480">
        <v>0.05</v>
      </c>
      <c r="J480">
        <v>684000</v>
      </c>
      <c r="K480">
        <v>245580.16</v>
      </c>
      <c r="L480" t="s">
        <v>71</v>
      </c>
      <c r="M480" t="str">
        <f t="shared" si="7"/>
        <v>Jun</v>
      </c>
    </row>
    <row r="481" spans="1:13">
      <c r="A481" t="s">
        <v>958</v>
      </c>
      <c r="B481" t="s">
        <v>503</v>
      </c>
      <c r="C481" t="s">
        <v>123</v>
      </c>
      <c r="D481" t="s">
        <v>52</v>
      </c>
      <c r="E481" t="s">
        <v>47</v>
      </c>
      <c r="F481" t="s">
        <v>3</v>
      </c>
      <c r="G481">
        <v>1</v>
      </c>
      <c r="H481">
        <v>55000</v>
      </c>
      <c r="I481">
        <v>0.15</v>
      </c>
      <c r="J481">
        <v>46750</v>
      </c>
      <c r="K481">
        <v>1658.47</v>
      </c>
      <c r="L481" t="s">
        <v>91</v>
      </c>
      <c r="M481" t="str">
        <f t="shared" si="7"/>
        <v>Feb</v>
      </c>
    </row>
    <row r="482" spans="1:13">
      <c r="A482" t="s">
        <v>959</v>
      </c>
      <c r="B482" t="s">
        <v>796</v>
      </c>
      <c r="C482" t="s">
        <v>182</v>
      </c>
      <c r="D482" t="s">
        <v>75</v>
      </c>
      <c r="E482" t="s">
        <v>57</v>
      </c>
      <c r="F482" t="s">
        <v>6</v>
      </c>
      <c r="G482">
        <v>1</v>
      </c>
      <c r="H482">
        <v>35000</v>
      </c>
      <c r="I482">
        <v>0.1</v>
      </c>
      <c r="J482">
        <v>31500</v>
      </c>
      <c r="K482">
        <v>11646.74</v>
      </c>
      <c r="L482" t="s">
        <v>91</v>
      </c>
      <c r="M482" t="str">
        <f t="shared" si="7"/>
        <v>Dec</v>
      </c>
    </row>
    <row r="483" spans="1:13">
      <c r="A483" t="s">
        <v>960</v>
      </c>
      <c r="B483" t="s">
        <v>551</v>
      </c>
      <c r="C483" t="s">
        <v>535</v>
      </c>
      <c r="D483" t="s">
        <v>75</v>
      </c>
      <c r="E483" t="s">
        <v>57</v>
      </c>
      <c r="F483" t="s">
        <v>5</v>
      </c>
      <c r="G483">
        <v>3</v>
      </c>
      <c r="H483">
        <v>35000</v>
      </c>
      <c r="I483">
        <v>0</v>
      </c>
      <c r="J483">
        <v>105000</v>
      </c>
      <c r="K483">
        <v>42999.5</v>
      </c>
      <c r="L483" t="s">
        <v>71</v>
      </c>
      <c r="M483" t="str">
        <f t="shared" si="7"/>
        <v>Dec</v>
      </c>
    </row>
    <row r="484" spans="1:13">
      <c r="A484" t="s">
        <v>961</v>
      </c>
      <c r="B484" t="s">
        <v>668</v>
      </c>
      <c r="C484" t="s">
        <v>386</v>
      </c>
      <c r="D484" t="s">
        <v>85</v>
      </c>
      <c r="E484" t="s">
        <v>86</v>
      </c>
      <c r="F484" t="s">
        <v>6</v>
      </c>
      <c r="G484">
        <v>2</v>
      </c>
      <c r="H484">
        <v>12000</v>
      </c>
      <c r="I484">
        <v>0.2</v>
      </c>
      <c r="J484">
        <v>19200</v>
      </c>
      <c r="K484">
        <v>5835.05</v>
      </c>
      <c r="L484" t="s">
        <v>91</v>
      </c>
      <c r="M484" t="str">
        <f t="shared" si="7"/>
        <v>Dec</v>
      </c>
    </row>
    <row r="485" spans="1:13">
      <c r="A485" t="s">
        <v>962</v>
      </c>
      <c r="B485" t="s">
        <v>481</v>
      </c>
      <c r="C485" t="s">
        <v>566</v>
      </c>
      <c r="D485" t="s">
        <v>62</v>
      </c>
      <c r="E485" t="s">
        <v>47</v>
      </c>
      <c r="F485" t="s">
        <v>2</v>
      </c>
      <c r="G485">
        <v>4</v>
      </c>
      <c r="H485">
        <v>180000</v>
      </c>
      <c r="I485">
        <v>0.2</v>
      </c>
      <c r="J485">
        <v>576000</v>
      </c>
      <c r="K485">
        <v>173133.99</v>
      </c>
      <c r="L485" t="s">
        <v>91</v>
      </c>
      <c r="M485" t="str">
        <f t="shared" si="7"/>
        <v>Jul</v>
      </c>
    </row>
    <row r="486" spans="1:13">
      <c r="A486" t="s">
        <v>963</v>
      </c>
      <c r="B486" t="s">
        <v>931</v>
      </c>
      <c r="C486" t="s">
        <v>895</v>
      </c>
      <c r="D486" t="s">
        <v>118</v>
      </c>
      <c r="E486" t="s">
        <v>57</v>
      </c>
      <c r="F486" t="s">
        <v>3</v>
      </c>
      <c r="G486">
        <v>5</v>
      </c>
      <c r="H486">
        <v>120000</v>
      </c>
      <c r="I486">
        <v>0.2</v>
      </c>
      <c r="J486">
        <v>480000</v>
      </c>
      <c r="K486">
        <v>22846.68</v>
      </c>
      <c r="L486" t="s">
        <v>91</v>
      </c>
      <c r="M486" t="str">
        <f t="shared" si="7"/>
        <v>Dec</v>
      </c>
    </row>
    <row r="487" spans="1:13">
      <c r="A487" t="s">
        <v>964</v>
      </c>
      <c r="B487" t="s">
        <v>458</v>
      </c>
      <c r="C487" t="s">
        <v>199</v>
      </c>
      <c r="D487" t="s">
        <v>110</v>
      </c>
      <c r="E487" t="s">
        <v>47</v>
      </c>
      <c r="F487" t="s">
        <v>2</v>
      </c>
      <c r="G487">
        <v>5</v>
      </c>
      <c r="H487">
        <v>85000</v>
      </c>
      <c r="I487">
        <v>0</v>
      </c>
      <c r="J487">
        <v>425000</v>
      </c>
      <c r="K487">
        <v>157538.28</v>
      </c>
      <c r="L487" t="s">
        <v>91</v>
      </c>
      <c r="M487" t="str">
        <f t="shared" si="7"/>
        <v>Dec</v>
      </c>
    </row>
    <row r="488" spans="1:13">
      <c r="A488" t="s">
        <v>965</v>
      </c>
      <c r="B488" t="s">
        <v>294</v>
      </c>
      <c r="C488" t="s">
        <v>558</v>
      </c>
      <c r="D488" t="s">
        <v>56</v>
      </c>
      <c r="E488" t="s">
        <v>57</v>
      </c>
      <c r="F488" t="s">
        <v>2</v>
      </c>
      <c r="G488">
        <v>3</v>
      </c>
      <c r="H488">
        <v>210000</v>
      </c>
      <c r="I488">
        <v>0.2</v>
      </c>
      <c r="J488">
        <v>504000</v>
      </c>
      <c r="K488">
        <v>142310.1</v>
      </c>
      <c r="L488" t="s">
        <v>91</v>
      </c>
      <c r="M488" t="str">
        <f t="shared" si="7"/>
        <v>Apr</v>
      </c>
    </row>
    <row r="489" spans="1:13">
      <c r="A489" t="s">
        <v>966</v>
      </c>
      <c r="B489" t="s">
        <v>899</v>
      </c>
      <c r="C489" t="s">
        <v>239</v>
      </c>
      <c r="D489" t="s">
        <v>62</v>
      </c>
      <c r="E489" t="s">
        <v>47</v>
      </c>
      <c r="F489" t="s">
        <v>5</v>
      </c>
      <c r="G489">
        <v>3</v>
      </c>
      <c r="H489">
        <v>180000</v>
      </c>
      <c r="I489">
        <v>0.05</v>
      </c>
      <c r="J489">
        <v>513000</v>
      </c>
      <c r="K489">
        <v>130623.79</v>
      </c>
      <c r="L489" t="s">
        <v>71</v>
      </c>
      <c r="M489" t="str">
        <f t="shared" si="7"/>
        <v>Jun</v>
      </c>
    </row>
    <row r="490" spans="1:13">
      <c r="A490" t="s">
        <v>967</v>
      </c>
      <c r="B490" t="s">
        <v>968</v>
      </c>
      <c r="C490" t="s">
        <v>320</v>
      </c>
      <c r="D490" t="s">
        <v>129</v>
      </c>
      <c r="E490" t="s">
        <v>47</v>
      </c>
      <c r="F490" t="s">
        <v>4</v>
      </c>
      <c r="G490">
        <v>5</v>
      </c>
      <c r="H490">
        <v>650000</v>
      </c>
      <c r="I490">
        <v>0.15</v>
      </c>
      <c r="J490">
        <v>2762500</v>
      </c>
      <c r="K490">
        <v>146375.89000000001</v>
      </c>
      <c r="L490" t="s">
        <v>58</v>
      </c>
      <c r="M490" t="str">
        <f t="shared" si="7"/>
        <v>Nov</v>
      </c>
    </row>
    <row r="491" spans="1:13">
      <c r="A491" t="s">
        <v>969</v>
      </c>
      <c r="B491" t="s">
        <v>970</v>
      </c>
      <c r="C491" t="s">
        <v>268</v>
      </c>
      <c r="D491" t="s">
        <v>56</v>
      </c>
      <c r="E491" t="s">
        <v>57</v>
      </c>
      <c r="F491" t="s">
        <v>2</v>
      </c>
      <c r="G491">
        <v>4</v>
      </c>
      <c r="H491">
        <v>210000</v>
      </c>
      <c r="I491">
        <v>0.15</v>
      </c>
      <c r="J491">
        <v>714000</v>
      </c>
      <c r="K491">
        <v>184332.92</v>
      </c>
      <c r="L491" t="s">
        <v>58</v>
      </c>
      <c r="M491" t="str">
        <f t="shared" si="7"/>
        <v>Mar</v>
      </c>
    </row>
    <row r="492" spans="1:13">
      <c r="A492" t="s">
        <v>971</v>
      </c>
      <c r="B492" t="s">
        <v>915</v>
      </c>
      <c r="C492" t="s">
        <v>482</v>
      </c>
      <c r="D492" t="s">
        <v>118</v>
      </c>
      <c r="E492" t="s">
        <v>57</v>
      </c>
      <c r="F492" t="s">
        <v>2</v>
      </c>
      <c r="G492">
        <v>4</v>
      </c>
      <c r="H492">
        <v>120000</v>
      </c>
      <c r="I492">
        <v>0.15</v>
      </c>
      <c r="J492">
        <v>408000</v>
      </c>
      <c r="K492">
        <v>28287.27</v>
      </c>
      <c r="L492" t="s">
        <v>91</v>
      </c>
      <c r="M492" t="str">
        <f t="shared" si="7"/>
        <v>Jun</v>
      </c>
    </row>
    <row r="493" spans="1:13">
      <c r="A493" t="s">
        <v>972</v>
      </c>
      <c r="B493" t="s">
        <v>159</v>
      </c>
      <c r="C493" t="s">
        <v>652</v>
      </c>
      <c r="D493" t="s">
        <v>110</v>
      </c>
      <c r="E493" t="s">
        <v>47</v>
      </c>
      <c r="F493" t="s">
        <v>6</v>
      </c>
      <c r="G493">
        <v>4</v>
      </c>
      <c r="H493">
        <v>85000</v>
      </c>
      <c r="I493">
        <v>0.05</v>
      </c>
      <c r="J493">
        <v>323000</v>
      </c>
      <c r="K493">
        <v>78071.19</v>
      </c>
      <c r="L493" t="s">
        <v>48</v>
      </c>
      <c r="M493" t="str">
        <f t="shared" si="7"/>
        <v>Feb</v>
      </c>
    </row>
    <row r="494" spans="1:13">
      <c r="A494" t="s">
        <v>973</v>
      </c>
      <c r="B494" t="s">
        <v>874</v>
      </c>
      <c r="C494" t="s">
        <v>974</v>
      </c>
      <c r="D494" t="s">
        <v>129</v>
      </c>
      <c r="E494" t="s">
        <v>47</v>
      </c>
      <c r="F494" t="s">
        <v>3</v>
      </c>
      <c r="G494">
        <v>3</v>
      </c>
      <c r="H494">
        <v>650000</v>
      </c>
      <c r="I494">
        <v>0</v>
      </c>
      <c r="J494">
        <v>1950000</v>
      </c>
      <c r="K494">
        <v>476731.74</v>
      </c>
      <c r="L494" t="s">
        <v>58</v>
      </c>
      <c r="M494" t="str">
        <f t="shared" si="7"/>
        <v>Aug</v>
      </c>
    </row>
    <row r="495" spans="1:13">
      <c r="A495" t="s">
        <v>975</v>
      </c>
      <c r="B495" t="s">
        <v>351</v>
      </c>
      <c r="C495" t="s">
        <v>777</v>
      </c>
      <c r="D495" t="s">
        <v>90</v>
      </c>
      <c r="E495" t="s">
        <v>86</v>
      </c>
      <c r="F495" t="s">
        <v>4</v>
      </c>
      <c r="G495">
        <v>2</v>
      </c>
      <c r="H495">
        <v>45000</v>
      </c>
      <c r="I495">
        <v>0.15</v>
      </c>
      <c r="J495">
        <v>76500</v>
      </c>
      <c r="K495">
        <v>16460.810000000001</v>
      </c>
      <c r="L495" t="s">
        <v>71</v>
      </c>
      <c r="M495" t="str">
        <f t="shared" si="7"/>
        <v>Feb</v>
      </c>
    </row>
    <row r="496" spans="1:13">
      <c r="A496" t="s">
        <v>976</v>
      </c>
      <c r="B496" t="s">
        <v>977</v>
      </c>
      <c r="C496" t="s">
        <v>123</v>
      </c>
      <c r="D496" t="s">
        <v>90</v>
      </c>
      <c r="E496" t="s">
        <v>86</v>
      </c>
      <c r="F496" t="s">
        <v>5</v>
      </c>
      <c r="G496">
        <v>1</v>
      </c>
      <c r="H496">
        <v>45000</v>
      </c>
      <c r="I496">
        <v>0</v>
      </c>
      <c r="J496">
        <v>45000</v>
      </c>
      <c r="K496">
        <v>13764.54</v>
      </c>
      <c r="L496" t="s">
        <v>91</v>
      </c>
      <c r="M496" t="str">
        <f t="shared" si="7"/>
        <v>Jul</v>
      </c>
    </row>
    <row r="497" spans="1:13">
      <c r="A497" t="s">
        <v>978</v>
      </c>
      <c r="B497" t="s">
        <v>704</v>
      </c>
      <c r="C497" t="s">
        <v>89</v>
      </c>
      <c r="D497" t="s">
        <v>56</v>
      </c>
      <c r="E497" t="s">
        <v>57</v>
      </c>
      <c r="F497" t="s">
        <v>2</v>
      </c>
      <c r="G497">
        <v>1</v>
      </c>
      <c r="H497">
        <v>210000</v>
      </c>
      <c r="I497">
        <v>0.2</v>
      </c>
      <c r="J497">
        <v>168000</v>
      </c>
      <c r="K497">
        <v>52266.18</v>
      </c>
      <c r="L497" t="s">
        <v>91</v>
      </c>
      <c r="M497" t="str">
        <f t="shared" si="7"/>
        <v>Apr</v>
      </c>
    </row>
    <row r="498" spans="1:13">
      <c r="A498" t="s">
        <v>979</v>
      </c>
      <c r="B498" t="s">
        <v>184</v>
      </c>
      <c r="C498" t="s">
        <v>114</v>
      </c>
      <c r="D498" t="s">
        <v>75</v>
      </c>
      <c r="E498" t="s">
        <v>57</v>
      </c>
      <c r="F498" t="s">
        <v>2</v>
      </c>
      <c r="G498">
        <v>1</v>
      </c>
      <c r="H498">
        <v>35000</v>
      </c>
      <c r="I498">
        <v>0.1</v>
      </c>
      <c r="J498">
        <v>31500</v>
      </c>
      <c r="K498">
        <v>7493.47</v>
      </c>
      <c r="L498" t="s">
        <v>48</v>
      </c>
      <c r="M498" t="str">
        <f t="shared" si="7"/>
        <v>Mar</v>
      </c>
    </row>
    <row r="499" spans="1:13">
      <c r="A499" t="s">
        <v>980</v>
      </c>
      <c r="B499" t="s">
        <v>921</v>
      </c>
      <c r="C499" t="s">
        <v>485</v>
      </c>
      <c r="D499" t="s">
        <v>129</v>
      </c>
      <c r="E499" t="s">
        <v>47</v>
      </c>
      <c r="F499" t="s">
        <v>6</v>
      </c>
      <c r="G499">
        <v>3</v>
      </c>
      <c r="H499">
        <v>650000</v>
      </c>
      <c r="I499">
        <v>0.1</v>
      </c>
      <c r="J499">
        <v>1755000</v>
      </c>
      <c r="K499">
        <v>299296.5</v>
      </c>
      <c r="L499" t="s">
        <v>71</v>
      </c>
      <c r="M499" t="str">
        <f t="shared" si="7"/>
        <v>Jun</v>
      </c>
    </row>
    <row r="500" spans="1:13">
      <c r="A500" t="s">
        <v>981</v>
      </c>
      <c r="B500" t="s">
        <v>915</v>
      </c>
      <c r="C500" t="s">
        <v>150</v>
      </c>
      <c r="D500" t="s">
        <v>110</v>
      </c>
      <c r="E500" t="s">
        <v>47</v>
      </c>
      <c r="F500" t="s">
        <v>4</v>
      </c>
      <c r="G500">
        <v>4</v>
      </c>
      <c r="H500">
        <v>85000</v>
      </c>
      <c r="I500">
        <v>0.05</v>
      </c>
      <c r="J500">
        <v>323000</v>
      </c>
      <c r="K500">
        <v>67139.39</v>
      </c>
      <c r="L500" t="s">
        <v>48</v>
      </c>
      <c r="M500" t="str">
        <f t="shared" si="7"/>
        <v>Jun</v>
      </c>
    </row>
    <row r="501" spans="1:13">
      <c r="A501" t="s">
        <v>982</v>
      </c>
      <c r="B501" t="s">
        <v>530</v>
      </c>
      <c r="C501" t="s">
        <v>983</v>
      </c>
      <c r="D501" t="s">
        <v>118</v>
      </c>
      <c r="E501" t="s">
        <v>57</v>
      </c>
      <c r="F501" t="s">
        <v>2</v>
      </c>
      <c r="G501">
        <v>2</v>
      </c>
      <c r="H501">
        <v>120000</v>
      </c>
      <c r="I501">
        <v>0</v>
      </c>
      <c r="J501">
        <v>240000</v>
      </c>
      <c r="K501">
        <v>60431.839999999997</v>
      </c>
      <c r="L501" t="s">
        <v>48</v>
      </c>
      <c r="M501" t="str">
        <f t="shared" si="7"/>
        <v>Apr</v>
      </c>
    </row>
    <row r="502" spans="1:13">
      <c r="A502">
        <f>COUNTA(A2:A501)</f>
        <v>500</v>
      </c>
      <c r="J502">
        <f>SUM(J2:J501)</f>
        <v>258831300</v>
      </c>
      <c r="K502">
        <f>SUM(K2:K501)</f>
        <v>63604368.450000033</v>
      </c>
    </row>
    <row r="503" spans="1:13">
      <c r="J503">
        <f>AVERAGE(J2:J501)</f>
        <v>517662.6</v>
      </c>
      <c r="K503">
        <f>AVERAGE(K2:K501)</f>
        <v>127208.73690000006</v>
      </c>
    </row>
  </sheetData>
  <autoFilter ref="A1:L50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2026-08-31T21:54:35Z</dcterms:created>
  <dcterms:modified xsi:type="dcterms:W3CDTF">2026-09-11T11:14:50Z</dcterms:modified>
  <cp:category/>
  <cp:contentStatus/>
</cp:coreProperties>
</file>